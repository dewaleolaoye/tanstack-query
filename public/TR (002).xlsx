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/>
  <mc:AlternateContent xmlns:mc="http://schemas.openxmlformats.org/markup-compatibility/2006">
    <mc:Choice Requires="x15">
      <x15ac:absPath xmlns:x15ac="http://schemas.microsoft.com/office/spreadsheetml/2010/11/ac" url="https://myresources.deloitte.com/personal/conyenze_deloitte_com_ng/Documents/"/>
    </mc:Choice>
  </mc:AlternateContent>
  <xr:revisionPtr revIDLastSave="0" documentId="8_{D0736350-BAD2-4324-AAA1-190363BB8B95}" xr6:coauthVersionLast="47" xr6:coauthVersionMax="47" xr10:uidLastSave="{00000000-0000-0000-0000-000000000000}"/>
  <bookViews>
    <workbookView xWindow="-120" yWindow="-120" windowWidth="29040" windowHeight="17520" tabRatio="862" firstSheet="1" activeTab="1" xr2:uid="{67E90DAD-C124-41F7-BE43-64D2EB421804}"/>
  </bookViews>
  <sheets>
    <sheet name="Instruction" sheetId="1" r:id="rId1"/>
    <sheet name="Requirement (EAD)" sheetId="2" r:id="rId2"/>
    <sheet name="EAD Engine" sheetId="3" r:id="rId3"/>
    <sheet name="EAD Analysis" sheetId="4" r:id="rId4"/>
    <sheet name="Requirement (LGD)" sheetId="5" r:id="rId5"/>
    <sheet name="LGD Engine" sheetId="6" r:id="rId6"/>
    <sheet name="LGD Analysis" sheetId="7" r:id="rId7"/>
    <sheet name="Requirement (PD)" sheetId="8" r:id="rId8"/>
    <sheet name="Historical Default" sheetId="9" r:id="rId9"/>
    <sheet name="Historical Exposure Dataset" sheetId="10" r:id="rId10"/>
    <sheet name="PD Engine" sheetId="11" r:id="rId11"/>
    <sheet name="FLI" sheetId="12" r:id="rId12"/>
    <sheet name="Sheet13" sheetId="13" r:id="rId13"/>
  </sheets>
  <definedNames>
    <definedName name="_xlnm._FilterDatabase" localSheetId="5" hidden="1">'LGD Engine'!$D$7:$P$439</definedName>
    <definedName name="beta1">FLI!$R$25</definedName>
    <definedName name="beta2">FLI!$R$26</definedName>
    <definedName name="beta3">FLI!$R$27</definedName>
    <definedName name="factor">FLI!$E$89</definedName>
    <definedName name="intercept">FLI!$R$24</definedName>
  </definedNames>
  <calcPr calcId="191028"/>
  <pivotCaches>
    <pivotCache cacheId="115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3" l="1"/>
  <c r="H8" i="13"/>
  <c r="H7" i="13"/>
  <c r="H6" i="13"/>
  <c r="H5" i="13"/>
  <c r="F9" i="13"/>
  <c r="E9" i="13"/>
  <c r="F8" i="13"/>
  <c r="E8" i="13"/>
  <c r="F7" i="13"/>
  <c r="E7" i="13"/>
  <c r="F6" i="13"/>
  <c r="E6" i="13"/>
  <c r="F5" i="13"/>
  <c r="E5" i="13"/>
  <c r="D9" i="13"/>
  <c r="D8" i="13"/>
  <c r="D7" i="13"/>
  <c r="D6" i="13"/>
  <c r="D5" i="13"/>
  <c r="P31" i="11"/>
  <c r="P30" i="11"/>
  <c r="P20" i="11"/>
  <c r="P19" i="11"/>
  <c r="P9" i="11"/>
  <c r="P8" i="11"/>
  <c r="O31" i="11"/>
  <c r="O30" i="11"/>
  <c r="O20" i="11"/>
  <c r="O19" i="11"/>
  <c r="O9" i="11"/>
  <c r="O8" i="11"/>
  <c r="N31" i="11"/>
  <c r="N30" i="11"/>
  <c r="N20" i="11"/>
  <c r="N19" i="11"/>
  <c r="N9" i="11"/>
  <c r="N8" i="11"/>
  <c r="M34" i="11"/>
  <c r="M33" i="11"/>
  <c r="M32" i="11"/>
  <c r="M31" i="11"/>
  <c r="M30" i="11"/>
  <c r="M23" i="11"/>
  <c r="M22" i="11"/>
  <c r="M21" i="11"/>
  <c r="M20" i="11"/>
  <c r="M19" i="11"/>
  <c r="M12" i="11"/>
  <c r="M11" i="11"/>
  <c r="M10" i="11"/>
  <c r="M9" i="11"/>
  <c r="M8" i="11"/>
  <c r="L34" i="11"/>
  <c r="L33" i="11"/>
  <c r="L32" i="11"/>
  <c r="L31" i="11"/>
  <c r="L30" i="11"/>
  <c r="L23" i="11"/>
  <c r="L22" i="11"/>
  <c r="L21" i="11"/>
  <c r="L20" i="11"/>
  <c r="L19" i="11"/>
  <c r="L12" i="11"/>
  <c r="L11" i="11"/>
  <c r="L10" i="11"/>
  <c r="L9" i="11"/>
  <c r="L8" i="11"/>
  <c r="E89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6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8" i="12"/>
  <c r="D68" i="12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L30" i="4"/>
  <c r="L34" i="4"/>
  <c r="L33" i="4"/>
  <c r="L32" i="4"/>
  <c r="L31" i="4"/>
  <c r="H69" i="12"/>
  <c r="H70" i="12"/>
  <c r="H68" i="12"/>
  <c r="G69" i="12"/>
  <c r="G70" i="12"/>
  <c r="G71" i="12"/>
  <c r="G72" i="12"/>
  <c r="G68" i="12"/>
  <c r="F69" i="12"/>
  <c r="F70" i="12"/>
  <c r="F71" i="12"/>
  <c r="F72" i="12"/>
  <c r="F68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 s="1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 s="1"/>
  <c r="K9" i="12" l="1"/>
  <c r="L9" i="12"/>
  <c r="M9" i="12"/>
  <c r="N9" i="12"/>
  <c r="K10" i="12"/>
  <c r="L10" i="12"/>
  <c r="M10" i="12"/>
  <c r="N10" i="12"/>
  <c r="K11" i="12"/>
  <c r="L11" i="12"/>
  <c r="M11" i="12"/>
  <c r="N11" i="12"/>
  <c r="K12" i="12"/>
  <c r="L12" i="12"/>
  <c r="M12" i="12"/>
  <c r="N12" i="12"/>
  <c r="K13" i="12"/>
  <c r="L13" i="12"/>
  <c r="M13" i="12"/>
  <c r="N13" i="12"/>
  <c r="K14" i="12"/>
  <c r="L14" i="12"/>
  <c r="M14" i="12"/>
  <c r="N14" i="12"/>
  <c r="K15" i="12"/>
  <c r="L15" i="12"/>
  <c r="M15" i="12"/>
  <c r="N15" i="12"/>
  <c r="K16" i="12"/>
  <c r="L16" i="12"/>
  <c r="M16" i="12"/>
  <c r="N16" i="12"/>
  <c r="K17" i="12"/>
  <c r="L17" i="12"/>
  <c r="M17" i="12"/>
  <c r="N17" i="12"/>
  <c r="K18" i="12"/>
  <c r="L18" i="12"/>
  <c r="M18" i="12"/>
  <c r="N18" i="12"/>
  <c r="K19" i="12"/>
  <c r="L19" i="12"/>
  <c r="M19" i="12"/>
  <c r="N19" i="12"/>
  <c r="K20" i="12"/>
  <c r="L20" i="12"/>
  <c r="M20" i="12"/>
  <c r="N20" i="12"/>
  <c r="K21" i="12"/>
  <c r="L21" i="12"/>
  <c r="M21" i="12"/>
  <c r="N21" i="12"/>
  <c r="K22" i="12"/>
  <c r="L22" i="12"/>
  <c r="M22" i="12"/>
  <c r="N22" i="12"/>
  <c r="K23" i="12"/>
  <c r="L23" i="12"/>
  <c r="M23" i="12"/>
  <c r="N23" i="12"/>
  <c r="K24" i="12"/>
  <c r="L24" i="12"/>
  <c r="M24" i="12"/>
  <c r="N24" i="12"/>
  <c r="K25" i="12"/>
  <c r="L25" i="12"/>
  <c r="M25" i="12"/>
  <c r="N25" i="12"/>
  <c r="K26" i="12"/>
  <c r="L26" i="12"/>
  <c r="M26" i="12"/>
  <c r="N26" i="12"/>
  <c r="K27" i="12"/>
  <c r="L27" i="12"/>
  <c r="M27" i="12"/>
  <c r="N27" i="12"/>
  <c r="K28" i="12"/>
  <c r="L28" i="12"/>
  <c r="M28" i="12"/>
  <c r="N28" i="12"/>
  <c r="K29" i="12"/>
  <c r="L29" i="12"/>
  <c r="M29" i="12"/>
  <c r="N29" i="12"/>
  <c r="K30" i="12"/>
  <c r="L30" i="12"/>
  <c r="M30" i="12"/>
  <c r="N30" i="12"/>
  <c r="K31" i="12"/>
  <c r="L31" i="12"/>
  <c r="M31" i="12"/>
  <c r="N31" i="12"/>
  <c r="K32" i="12"/>
  <c r="L32" i="12"/>
  <c r="M32" i="12"/>
  <c r="N32" i="12"/>
  <c r="K33" i="12"/>
  <c r="L33" i="12"/>
  <c r="M33" i="12"/>
  <c r="N33" i="12"/>
  <c r="K34" i="12"/>
  <c r="L34" i="12"/>
  <c r="M34" i="12"/>
  <c r="N34" i="12"/>
  <c r="K35" i="12"/>
  <c r="L35" i="12"/>
  <c r="M35" i="12"/>
  <c r="N35" i="12"/>
  <c r="K36" i="12"/>
  <c r="L36" i="12"/>
  <c r="M36" i="12"/>
  <c r="N36" i="12"/>
  <c r="K37" i="12"/>
  <c r="L37" i="12"/>
  <c r="M37" i="12"/>
  <c r="N37" i="12"/>
  <c r="K38" i="12"/>
  <c r="L38" i="12"/>
  <c r="M38" i="12"/>
  <c r="N38" i="12"/>
  <c r="K39" i="12"/>
  <c r="L39" i="12"/>
  <c r="M39" i="12"/>
  <c r="N39" i="12"/>
  <c r="K40" i="12"/>
  <c r="L40" i="12"/>
  <c r="M40" i="12"/>
  <c r="N40" i="12"/>
  <c r="K41" i="12"/>
  <c r="L41" i="12"/>
  <c r="M41" i="12"/>
  <c r="N41" i="12"/>
  <c r="K42" i="12"/>
  <c r="L42" i="12"/>
  <c r="M42" i="12"/>
  <c r="N42" i="12"/>
  <c r="K43" i="12"/>
  <c r="L43" i="12"/>
  <c r="M43" i="12"/>
  <c r="N43" i="12"/>
  <c r="K44" i="12"/>
  <c r="L44" i="12"/>
  <c r="M44" i="12"/>
  <c r="N44" i="12"/>
  <c r="K45" i="12"/>
  <c r="L45" i="12"/>
  <c r="M45" i="12"/>
  <c r="N45" i="12"/>
  <c r="K46" i="12"/>
  <c r="L46" i="12"/>
  <c r="M46" i="12"/>
  <c r="N46" i="12"/>
  <c r="K47" i="12"/>
  <c r="L47" i="12"/>
  <c r="M47" i="12"/>
  <c r="N47" i="12"/>
  <c r="K48" i="12"/>
  <c r="L48" i="12"/>
  <c r="M48" i="12"/>
  <c r="N48" i="12"/>
  <c r="K49" i="12"/>
  <c r="L49" i="12"/>
  <c r="M49" i="12"/>
  <c r="N49" i="12"/>
  <c r="K50" i="12"/>
  <c r="L50" i="12"/>
  <c r="M50" i="12"/>
  <c r="N50" i="12"/>
  <c r="K51" i="12"/>
  <c r="L51" i="12"/>
  <c r="M51" i="12"/>
  <c r="N51" i="12"/>
  <c r="K52" i="12"/>
  <c r="L52" i="12"/>
  <c r="M52" i="12"/>
  <c r="N52" i="12"/>
  <c r="K53" i="12"/>
  <c r="L53" i="12"/>
  <c r="M53" i="12"/>
  <c r="N53" i="12"/>
  <c r="K54" i="12"/>
  <c r="L54" i="12"/>
  <c r="M54" i="12"/>
  <c r="N54" i="12"/>
  <c r="K55" i="12"/>
  <c r="L55" i="12"/>
  <c r="M55" i="12"/>
  <c r="N55" i="12"/>
  <c r="K56" i="12"/>
  <c r="L56" i="12"/>
  <c r="M56" i="12"/>
  <c r="N56" i="12"/>
  <c r="K57" i="12"/>
  <c r="L57" i="12"/>
  <c r="M57" i="12"/>
  <c r="N57" i="12"/>
  <c r="K58" i="12"/>
  <c r="L58" i="12"/>
  <c r="M58" i="12"/>
  <c r="N58" i="12"/>
  <c r="K59" i="12"/>
  <c r="L59" i="12"/>
  <c r="M59" i="12"/>
  <c r="N59" i="12"/>
  <c r="K60" i="12"/>
  <c r="L60" i="12"/>
  <c r="M60" i="12"/>
  <c r="N60" i="12"/>
  <c r="K61" i="12"/>
  <c r="L61" i="12"/>
  <c r="M61" i="12"/>
  <c r="N61" i="12"/>
  <c r="K62" i="12"/>
  <c r="L62" i="12"/>
  <c r="M62" i="12"/>
  <c r="N62" i="12"/>
  <c r="K63" i="12"/>
  <c r="L63" i="12"/>
  <c r="M63" i="12"/>
  <c r="N63" i="12"/>
  <c r="K64" i="12"/>
  <c r="L64" i="12"/>
  <c r="M64" i="12"/>
  <c r="N64" i="12"/>
  <c r="K65" i="12"/>
  <c r="L65" i="12"/>
  <c r="M65" i="12"/>
  <c r="N65" i="12"/>
  <c r="K66" i="12"/>
  <c r="L66" i="12"/>
  <c r="M66" i="12"/>
  <c r="N66" i="12"/>
  <c r="K67" i="12"/>
  <c r="L67" i="12"/>
  <c r="M67" i="12"/>
  <c r="N67" i="12"/>
  <c r="N8" i="12"/>
  <c r="M8" i="12"/>
  <c r="L8" i="12"/>
  <c r="K8" i="12"/>
  <c r="H20" i="10"/>
  <c r="E31" i="11"/>
  <c r="E30" i="11"/>
  <c r="M31" i="10"/>
  <c r="M30" i="10"/>
  <c r="E21" i="11"/>
  <c r="E20" i="11"/>
  <c r="E19" i="11"/>
  <c r="M21" i="10"/>
  <c r="M20" i="10"/>
  <c r="M19" i="10"/>
  <c r="E11" i="11"/>
  <c r="E10" i="11"/>
  <c r="E9" i="11"/>
  <c r="E8" i="11"/>
  <c r="M11" i="10"/>
  <c r="M10" i="10"/>
  <c r="M9" i="10"/>
  <c r="M8" i="10"/>
  <c r="L8" i="9" a="1"/>
  <c r="L8" i="9" s="1"/>
  <c r="M8" i="9" s="1"/>
  <c r="F10" i="11" s="1"/>
  <c r="G10" i="11" s="1"/>
  <c r="I23" i="10"/>
  <c r="H23" i="10"/>
  <c r="H34" i="10" s="1"/>
  <c r="G23" i="10"/>
  <c r="G34" i="10" s="1"/>
  <c r="F23" i="10"/>
  <c r="F34" i="10" s="1"/>
  <c r="E23" i="10"/>
  <c r="E34" i="10" s="1"/>
  <c r="I22" i="10"/>
  <c r="H22" i="10"/>
  <c r="H33" i="10" s="1"/>
  <c r="G22" i="10"/>
  <c r="F22" i="10"/>
  <c r="F33" i="10" s="1"/>
  <c r="E22" i="10"/>
  <c r="E33" i="10" s="1"/>
  <c r="I21" i="10"/>
  <c r="H21" i="10"/>
  <c r="G21" i="10"/>
  <c r="F21" i="10"/>
  <c r="F32" i="10" s="1"/>
  <c r="E21" i="10"/>
  <c r="E32" i="10" s="1"/>
  <c r="I20" i="10"/>
  <c r="H31" i="10"/>
  <c r="G20" i="10"/>
  <c r="F20" i="10"/>
  <c r="F31" i="10" s="1"/>
  <c r="E20" i="10"/>
  <c r="E31" i="10" s="1"/>
  <c r="I19" i="10"/>
  <c r="H30" i="10"/>
  <c r="G19" i="10"/>
  <c r="F19" i="10"/>
  <c r="E19" i="10"/>
  <c r="E30" i="10" s="1"/>
  <c r="I13" i="10"/>
  <c r="M12" i="10" s="1"/>
  <c r="E12" i="11" s="1"/>
  <c r="H13" i="10"/>
  <c r="G13" i="10"/>
  <c r="F13" i="10"/>
  <c r="E13" i="10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M67" i="6"/>
  <c r="N67" i="6" s="1"/>
  <c r="M68" i="6"/>
  <c r="N68" i="6" s="1"/>
  <c r="M69" i="6"/>
  <c r="N69" i="6" s="1"/>
  <c r="M70" i="6"/>
  <c r="N70" i="6" s="1"/>
  <c r="M71" i="6"/>
  <c r="N71" i="6" s="1"/>
  <c r="M72" i="6"/>
  <c r="N72" i="6" s="1"/>
  <c r="M73" i="6"/>
  <c r="N73" i="6" s="1"/>
  <c r="M74" i="6"/>
  <c r="N74" i="6" s="1"/>
  <c r="M75" i="6"/>
  <c r="N75" i="6" s="1"/>
  <c r="M76" i="6"/>
  <c r="N76" i="6" s="1"/>
  <c r="M77" i="6"/>
  <c r="N77" i="6" s="1"/>
  <c r="M78" i="6"/>
  <c r="N78" i="6" s="1"/>
  <c r="M79" i="6"/>
  <c r="N79" i="6" s="1"/>
  <c r="M80" i="6"/>
  <c r="N80" i="6" s="1"/>
  <c r="M81" i="6"/>
  <c r="N81" i="6" s="1"/>
  <c r="M82" i="6"/>
  <c r="N82" i="6" s="1"/>
  <c r="M83" i="6"/>
  <c r="N83" i="6" s="1"/>
  <c r="M84" i="6"/>
  <c r="N84" i="6" s="1"/>
  <c r="M85" i="6"/>
  <c r="N85" i="6" s="1"/>
  <c r="M86" i="6"/>
  <c r="N86" i="6" s="1"/>
  <c r="M87" i="6"/>
  <c r="N87" i="6" s="1"/>
  <c r="M88" i="6"/>
  <c r="N88" i="6" s="1"/>
  <c r="M89" i="6"/>
  <c r="N89" i="6" s="1"/>
  <c r="M90" i="6"/>
  <c r="N90" i="6" s="1"/>
  <c r="M91" i="6"/>
  <c r="N91" i="6" s="1"/>
  <c r="M92" i="6"/>
  <c r="N92" i="6" s="1"/>
  <c r="M93" i="6"/>
  <c r="N93" i="6" s="1"/>
  <c r="M94" i="6"/>
  <c r="N94" i="6" s="1"/>
  <c r="M95" i="6"/>
  <c r="N95" i="6" s="1"/>
  <c r="M96" i="6"/>
  <c r="N96" i="6" s="1"/>
  <c r="M97" i="6"/>
  <c r="N97" i="6" s="1"/>
  <c r="M98" i="6"/>
  <c r="N98" i="6" s="1"/>
  <c r="M99" i="6"/>
  <c r="N99" i="6" s="1"/>
  <c r="M100" i="6"/>
  <c r="N100" i="6" s="1"/>
  <c r="M101" i="6"/>
  <c r="N101" i="6" s="1"/>
  <c r="M102" i="6"/>
  <c r="N102" i="6" s="1"/>
  <c r="M103" i="6"/>
  <c r="N103" i="6" s="1"/>
  <c r="M104" i="6"/>
  <c r="N104" i="6" s="1"/>
  <c r="M105" i="6"/>
  <c r="N105" i="6" s="1"/>
  <c r="M106" i="6"/>
  <c r="N106" i="6" s="1"/>
  <c r="M107" i="6"/>
  <c r="N107" i="6" s="1"/>
  <c r="M108" i="6"/>
  <c r="N108" i="6" s="1"/>
  <c r="M109" i="6"/>
  <c r="N109" i="6" s="1"/>
  <c r="M110" i="6"/>
  <c r="N110" i="6" s="1"/>
  <c r="M111" i="6"/>
  <c r="N111" i="6" s="1"/>
  <c r="M112" i="6"/>
  <c r="N112" i="6" s="1"/>
  <c r="M113" i="6"/>
  <c r="N113" i="6" s="1"/>
  <c r="M114" i="6"/>
  <c r="N114" i="6" s="1"/>
  <c r="M115" i="6"/>
  <c r="N115" i="6" s="1"/>
  <c r="M116" i="6"/>
  <c r="N116" i="6" s="1"/>
  <c r="M117" i="6"/>
  <c r="N117" i="6" s="1"/>
  <c r="M118" i="6"/>
  <c r="N118" i="6" s="1"/>
  <c r="M119" i="6"/>
  <c r="N119" i="6" s="1"/>
  <c r="M120" i="6"/>
  <c r="N120" i="6" s="1"/>
  <c r="M121" i="6"/>
  <c r="N121" i="6" s="1"/>
  <c r="M122" i="6"/>
  <c r="N122" i="6" s="1"/>
  <c r="M123" i="6"/>
  <c r="N123" i="6" s="1"/>
  <c r="M124" i="6"/>
  <c r="N124" i="6" s="1"/>
  <c r="M125" i="6"/>
  <c r="N125" i="6" s="1"/>
  <c r="M126" i="6"/>
  <c r="N126" i="6" s="1"/>
  <c r="M127" i="6"/>
  <c r="N127" i="6" s="1"/>
  <c r="M128" i="6"/>
  <c r="N128" i="6" s="1"/>
  <c r="M129" i="6"/>
  <c r="N129" i="6" s="1"/>
  <c r="M130" i="6"/>
  <c r="N130" i="6" s="1"/>
  <c r="M131" i="6"/>
  <c r="N131" i="6" s="1"/>
  <c r="M132" i="6"/>
  <c r="N132" i="6" s="1"/>
  <c r="M133" i="6"/>
  <c r="N133" i="6" s="1"/>
  <c r="M134" i="6"/>
  <c r="N134" i="6" s="1"/>
  <c r="M135" i="6"/>
  <c r="N135" i="6" s="1"/>
  <c r="M136" i="6"/>
  <c r="N136" i="6" s="1"/>
  <c r="M137" i="6"/>
  <c r="N137" i="6" s="1"/>
  <c r="M138" i="6"/>
  <c r="N138" i="6" s="1"/>
  <c r="M139" i="6"/>
  <c r="N139" i="6" s="1"/>
  <c r="M140" i="6"/>
  <c r="N140" i="6" s="1"/>
  <c r="M141" i="6"/>
  <c r="N141" i="6" s="1"/>
  <c r="M142" i="6"/>
  <c r="N142" i="6" s="1"/>
  <c r="M143" i="6"/>
  <c r="N143" i="6" s="1"/>
  <c r="M144" i="6"/>
  <c r="N144" i="6" s="1"/>
  <c r="M145" i="6"/>
  <c r="N145" i="6" s="1"/>
  <c r="M146" i="6"/>
  <c r="N146" i="6" s="1"/>
  <c r="M147" i="6"/>
  <c r="N147" i="6" s="1"/>
  <c r="M148" i="6"/>
  <c r="N148" i="6" s="1"/>
  <c r="M149" i="6"/>
  <c r="N149" i="6" s="1"/>
  <c r="M150" i="6"/>
  <c r="N150" i="6" s="1"/>
  <c r="M151" i="6"/>
  <c r="N151" i="6" s="1"/>
  <c r="M152" i="6"/>
  <c r="N152" i="6" s="1"/>
  <c r="M153" i="6"/>
  <c r="N153" i="6" s="1"/>
  <c r="M154" i="6"/>
  <c r="N154" i="6" s="1"/>
  <c r="M155" i="6"/>
  <c r="N155" i="6" s="1"/>
  <c r="M156" i="6"/>
  <c r="N156" i="6" s="1"/>
  <c r="M157" i="6"/>
  <c r="N157" i="6" s="1"/>
  <c r="M158" i="6"/>
  <c r="N158" i="6" s="1"/>
  <c r="M159" i="6"/>
  <c r="N159" i="6" s="1"/>
  <c r="M160" i="6"/>
  <c r="N160" i="6" s="1"/>
  <c r="M161" i="6"/>
  <c r="N161" i="6" s="1"/>
  <c r="M162" i="6"/>
  <c r="N162" i="6" s="1"/>
  <c r="M163" i="6"/>
  <c r="N163" i="6" s="1"/>
  <c r="M164" i="6"/>
  <c r="N164" i="6" s="1"/>
  <c r="M165" i="6"/>
  <c r="N165" i="6" s="1"/>
  <c r="M166" i="6"/>
  <c r="N166" i="6" s="1"/>
  <c r="M167" i="6"/>
  <c r="N167" i="6" s="1"/>
  <c r="M168" i="6"/>
  <c r="N168" i="6" s="1"/>
  <c r="M169" i="6"/>
  <c r="N169" i="6" s="1"/>
  <c r="M170" i="6"/>
  <c r="N170" i="6" s="1"/>
  <c r="M171" i="6"/>
  <c r="N171" i="6" s="1"/>
  <c r="M172" i="6"/>
  <c r="N172" i="6" s="1"/>
  <c r="M173" i="6"/>
  <c r="N173" i="6" s="1"/>
  <c r="M174" i="6"/>
  <c r="N174" i="6" s="1"/>
  <c r="M175" i="6"/>
  <c r="N175" i="6" s="1"/>
  <c r="M176" i="6"/>
  <c r="N176" i="6" s="1"/>
  <c r="M177" i="6"/>
  <c r="N177" i="6" s="1"/>
  <c r="M178" i="6"/>
  <c r="N178" i="6" s="1"/>
  <c r="M179" i="6"/>
  <c r="N179" i="6" s="1"/>
  <c r="M180" i="6"/>
  <c r="N180" i="6" s="1"/>
  <c r="M181" i="6"/>
  <c r="N181" i="6" s="1"/>
  <c r="M182" i="6"/>
  <c r="N182" i="6" s="1"/>
  <c r="M183" i="6"/>
  <c r="N183" i="6" s="1"/>
  <c r="M184" i="6"/>
  <c r="N184" i="6" s="1"/>
  <c r="M185" i="6"/>
  <c r="N185" i="6" s="1"/>
  <c r="M186" i="6"/>
  <c r="N186" i="6" s="1"/>
  <c r="M187" i="6"/>
  <c r="N187" i="6" s="1"/>
  <c r="M188" i="6"/>
  <c r="N188" i="6" s="1"/>
  <c r="M189" i="6"/>
  <c r="N189" i="6" s="1"/>
  <c r="M190" i="6"/>
  <c r="N190" i="6" s="1"/>
  <c r="M191" i="6"/>
  <c r="N191" i="6" s="1"/>
  <c r="M192" i="6"/>
  <c r="N192" i="6" s="1"/>
  <c r="M193" i="6"/>
  <c r="N193" i="6" s="1"/>
  <c r="M194" i="6"/>
  <c r="N194" i="6" s="1"/>
  <c r="M195" i="6"/>
  <c r="N195" i="6" s="1"/>
  <c r="M196" i="6"/>
  <c r="N196" i="6" s="1"/>
  <c r="M197" i="6"/>
  <c r="N197" i="6" s="1"/>
  <c r="M198" i="6"/>
  <c r="N198" i="6" s="1"/>
  <c r="M199" i="6"/>
  <c r="N199" i="6" s="1"/>
  <c r="M200" i="6"/>
  <c r="N200" i="6" s="1"/>
  <c r="M201" i="6"/>
  <c r="N201" i="6" s="1"/>
  <c r="M202" i="6"/>
  <c r="N202" i="6" s="1"/>
  <c r="M203" i="6"/>
  <c r="N203" i="6" s="1"/>
  <c r="M204" i="6"/>
  <c r="N204" i="6" s="1"/>
  <c r="M205" i="6"/>
  <c r="N205" i="6" s="1"/>
  <c r="M206" i="6"/>
  <c r="N206" i="6" s="1"/>
  <c r="M207" i="6"/>
  <c r="N207" i="6" s="1"/>
  <c r="M208" i="6"/>
  <c r="N208" i="6" s="1"/>
  <c r="M209" i="6"/>
  <c r="N209" i="6" s="1"/>
  <c r="M210" i="6"/>
  <c r="N210" i="6" s="1"/>
  <c r="M211" i="6"/>
  <c r="N211" i="6" s="1"/>
  <c r="M212" i="6"/>
  <c r="N212" i="6" s="1"/>
  <c r="M213" i="6"/>
  <c r="N213" i="6" s="1"/>
  <c r="M214" i="6"/>
  <c r="N214" i="6" s="1"/>
  <c r="M215" i="6"/>
  <c r="N215" i="6" s="1"/>
  <c r="M216" i="6"/>
  <c r="N216" i="6" s="1"/>
  <c r="M217" i="6"/>
  <c r="N217" i="6" s="1"/>
  <c r="M218" i="6"/>
  <c r="N218" i="6" s="1"/>
  <c r="M219" i="6"/>
  <c r="N219" i="6" s="1"/>
  <c r="M220" i="6"/>
  <c r="N220" i="6" s="1"/>
  <c r="M221" i="6"/>
  <c r="N221" i="6" s="1"/>
  <c r="M222" i="6"/>
  <c r="N222" i="6" s="1"/>
  <c r="M223" i="6"/>
  <c r="N223" i="6" s="1"/>
  <c r="M224" i="6"/>
  <c r="N224" i="6" s="1"/>
  <c r="M225" i="6"/>
  <c r="N225" i="6" s="1"/>
  <c r="M226" i="6"/>
  <c r="N226" i="6" s="1"/>
  <c r="M227" i="6"/>
  <c r="N227" i="6" s="1"/>
  <c r="M228" i="6"/>
  <c r="N228" i="6" s="1"/>
  <c r="M229" i="6"/>
  <c r="N229" i="6" s="1"/>
  <c r="M230" i="6"/>
  <c r="N230" i="6" s="1"/>
  <c r="M231" i="6"/>
  <c r="N231" i="6" s="1"/>
  <c r="M232" i="6"/>
  <c r="N232" i="6" s="1"/>
  <c r="M233" i="6"/>
  <c r="N233" i="6" s="1"/>
  <c r="M234" i="6"/>
  <c r="N234" i="6" s="1"/>
  <c r="M235" i="6"/>
  <c r="N235" i="6" s="1"/>
  <c r="M236" i="6"/>
  <c r="N236" i="6" s="1"/>
  <c r="M237" i="6"/>
  <c r="N237" i="6" s="1"/>
  <c r="M238" i="6"/>
  <c r="N238" i="6" s="1"/>
  <c r="M239" i="6"/>
  <c r="N239" i="6" s="1"/>
  <c r="M240" i="6"/>
  <c r="N240" i="6" s="1"/>
  <c r="M241" i="6"/>
  <c r="N241" i="6" s="1"/>
  <c r="M242" i="6"/>
  <c r="N242" i="6" s="1"/>
  <c r="M243" i="6"/>
  <c r="N243" i="6" s="1"/>
  <c r="M244" i="6"/>
  <c r="N244" i="6" s="1"/>
  <c r="M245" i="6"/>
  <c r="N245" i="6" s="1"/>
  <c r="M246" i="6"/>
  <c r="N246" i="6" s="1"/>
  <c r="M247" i="6"/>
  <c r="N247" i="6" s="1"/>
  <c r="M248" i="6"/>
  <c r="N248" i="6" s="1"/>
  <c r="M249" i="6"/>
  <c r="N249" i="6" s="1"/>
  <c r="M250" i="6"/>
  <c r="N250" i="6" s="1"/>
  <c r="M251" i="6"/>
  <c r="N251" i="6" s="1"/>
  <c r="M252" i="6"/>
  <c r="N252" i="6" s="1"/>
  <c r="M253" i="6"/>
  <c r="N253" i="6" s="1"/>
  <c r="M254" i="6"/>
  <c r="N254" i="6" s="1"/>
  <c r="M255" i="6"/>
  <c r="N255" i="6" s="1"/>
  <c r="M256" i="6"/>
  <c r="N256" i="6" s="1"/>
  <c r="M257" i="6"/>
  <c r="N257" i="6" s="1"/>
  <c r="M258" i="6"/>
  <c r="N258" i="6" s="1"/>
  <c r="M259" i="6"/>
  <c r="N259" i="6" s="1"/>
  <c r="M260" i="6"/>
  <c r="N260" i="6" s="1"/>
  <c r="M261" i="6"/>
  <c r="N261" i="6" s="1"/>
  <c r="M262" i="6"/>
  <c r="N262" i="6" s="1"/>
  <c r="M263" i="6"/>
  <c r="N263" i="6" s="1"/>
  <c r="M264" i="6"/>
  <c r="N264" i="6" s="1"/>
  <c r="M265" i="6"/>
  <c r="N265" i="6" s="1"/>
  <c r="M266" i="6"/>
  <c r="N266" i="6" s="1"/>
  <c r="M267" i="6"/>
  <c r="N267" i="6" s="1"/>
  <c r="M268" i="6"/>
  <c r="N268" i="6" s="1"/>
  <c r="M269" i="6"/>
  <c r="N269" i="6" s="1"/>
  <c r="M270" i="6"/>
  <c r="N270" i="6" s="1"/>
  <c r="M271" i="6"/>
  <c r="N271" i="6" s="1"/>
  <c r="M272" i="6"/>
  <c r="N272" i="6" s="1"/>
  <c r="M273" i="6"/>
  <c r="N273" i="6" s="1"/>
  <c r="M274" i="6"/>
  <c r="N274" i="6" s="1"/>
  <c r="M275" i="6"/>
  <c r="N275" i="6" s="1"/>
  <c r="M276" i="6"/>
  <c r="N276" i="6" s="1"/>
  <c r="M277" i="6"/>
  <c r="N277" i="6" s="1"/>
  <c r="M278" i="6"/>
  <c r="N278" i="6" s="1"/>
  <c r="M279" i="6"/>
  <c r="N279" i="6" s="1"/>
  <c r="M280" i="6"/>
  <c r="N280" i="6" s="1"/>
  <c r="M281" i="6"/>
  <c r="N281" i="6" s="1"/>
  <c r="M282" i="6"/>
  <c r="N282" i="6" s="1"/>
  <c r="M283" i="6"/>
  <c r="N283" i="6" s="1"/>
  <c r="M284" i="6"/>
  <c r="N284" i="6" s="1"/>
  <c r="M285" i="6"/>
  <c r="N285" i="6" s="1"/>
  <c r="M286" i="6"/>
  <c r="N286" i="6" s="1"/>
  <c r="M287" i="6"/>
  <c r="N287" i="6" s="1"/>
  <c r="M288" i="6"/>
  <c r="N288" i="6" s="1"/>
  <c r="M289" i="6"/>
  <c r="N289" i="6" s="1"/>
  <c r="M290" i="6"/>
  <c r="N290" i="6" s="1"/>
  <c r="M291" i="6"/>
  <c r="N291" i="6" s="1"/>
  <c r="M292" i="6"/>
  <c r="N292" i="6" s="1"/>
  <c r="M293" i="6"/>
  <c r="N293" i="6" s="1"/>
  <c r="M294" i="6"/>
  <c r="N294" i="6" s="1"/>
  <c r="M295" i="6"/>
  <c r="N295" i="6" s="1"/>
  <c r="M296" i="6"/>
  <c r="N296" i="6" s="1"/>
  <c r="M297" i="6"/>
  <c r="N297" i="6" s="1"/>
  <c r="M298" i="6"/>
  <c r="N298" i="6" s="1"/>
  <c r="M299" i="6"/>
  <c r="N299" i="6" s="1"/>
  <c r="M300" i="6"/>
  <c r="N300" i="6" s="1"/>
  <c r="M301" i="6"/>
  <c r="N301" i="6" s="1"/>
  <c r="M302" i="6"/>
  <c r="N302" i="6" s="1"/>
  <c r="M303" i="6"/>
  <c r="N303" i="6" s="1"/>
  <c r="M304" i="6"/>
  <c r="N304" i="6" s="1"/>
  <c r="M305" i="6"/>
  <c r="N305" i="6" s="1"/>
  <c r="M306" i="6"/>
  <c r="N306" i="6" s="1"/>
  <c r="M307" i="6"/>
  <c r="N307" i="6" s="1"/>
  <c r="M308" i="6"/>
  <c r="N308" i="6" s="1"/>
  <c r="M309" i="6"/>
  <c r="N309" i="6" s="1"/>
  <c r="M310" i="6"/>
  <c r="N310" i="6" s="1"/>
  <c r="M311" i="6"/>
  <c r="N311" i="6" s="1"/>
  <c r="M312" i="6"/>
  <c r="N312" i="6" s="1"/>
  <c r="M313" i="6"/>
  <c r="N313" i="6" s="1"/>
  <c r="M314" i="6"/>
  <c r="N314" i="6" s="1"/>
  <c r="M315" i="6"/>
  <c r="N315" i="6" s="1"/>
  <c r="M316" i="6"/>
  <c r="N316" i="6" s="1"/>
  <c r="M317" i="6"/>
  <c r="N317" i="6" s="1"/>
  <c r="M318" i="6"/>
  <c r="N318" i="6" s="1"/>
  <c r="M319" i="6"/>
  <c r="N319" i="6" s="1"/>
  <c r="M320" i="6"/>
  <c r="N320" i="6" s="1"/>
  <c r="M321" i="6"/>
  <c r="N321" i="6" s="1"/>
  <c r="M322" i="6"/>
  <c r="N322" i="6" s="1"/>
  <c r="M323" i="6"/>
  <c r="N323" i="6" s="1"/>
  <c r="M324" i="6"/>
  <c r="N324" i="6" s="1"/>
  <c r="M325" i="6"/>
  <c r="N325" i="6" s="1"/>
  <c r="M326" i="6"/>
  <c r="N326" i="6" s="1"/>
  <c r="M327" i="6"/>
  <c r="N327" i="6" s="1"/>
  <c r="M328" i="6"/>
  <c r="N328" i="6" s="1"/>
  <c r="M329" i="6"/>
  <c r="N329" i="6" s="1"/>
  <c r="M330" i="6"/>
  <c r="N330" i="6" s="1"/>
  <c r="M331" i="6"/>
  <c r="N331" i="6" s="1"/>
  <c r="M332" i="6"/>
  <c r="N332" i="6" s="1"/>
  <c r="M333" i="6"/>
  <c r="N333" i="6" s="1"/>
  <c r="M334" i="6"/>
  <c r="N334" i="6" s="1"/>
  <c r="M335" i="6"/>
  <c r="N335" i="6" s="1"/>
  <c r="M336" i="6"/>
  <c r="N336" i="6" s="1"/>
  <c r="M337" i="6"/>
  <c r="N337" i="6" s="1"/>
  <c r="M338" i="6"/>
  <c r="N338" i="6" s="1"/>
  <c r="M339" i="6"/>
  <c r="N339" i="6" s="1"/>
  <c r="M340" i="6"/>
  <c r="N340" i="6" s="1"/>
  <c r="M341" i="6"/>
  <c r="N341" i="6" s="1"/>
  <c r="M342" i="6"/>
  <c r="N342" i="6" s="1"/>
  <c r="M343" i="6"/>
  <c r="N343" i="6" s="1"/>
  <c r="M344" i="6"/>
  <c r="N344" i="6" s="1"/>
  <c r="M345" i="6"/>
  <c r="N345" i="6" s="1"/>
  <c r="M346" i="6"/>
  <c r="N346" i="6" s="1"/>
  <c r="M347" i="6"/>
  <c r="N347" i="6" s="1"/>
  <c r="M348" i="6"/>
  <c r="N348" i="6" s="1"/>
  <c r="M349" i="6"/>
  <c r="N349" i="6" s="1"/>
  <c r="M350" i="6"/>
  <c r="N350" i="6" s="1"/>
  <c r="M351" i="6"/>
  <c r="N351" i="6" s="1"/>
  <c r="M352" i="6"/>
  <c r="N352" i="6" s="1"/>
  <c r="M353" i="6"/>
  <c r="N353" i="6" s="1"/>
  <c r="M354" i="6"/>
  <c r="N354" i="6" s="1"/>
  <c r="M355" i="6"/>
  <c r="N355" i="6" s="1"/>
  <c r="M356" i="6"/>
  <c r="N356" i="6" s="1"/>
  <c r="M357" i="6"/>
  <c r="N357" i="6" s="1"/>
  <c r="M358" i="6"/>
  <c r="N358" i="6" s="1"/>
  <c r="M359" i="6"/>
  <c r="N359" i="6" s="1"/>
  <c r="M360" i="6"/>
  <c r="N360" i="6" s="1"/>
  <c r="M361" i="6"/>
  <c r="N361" i="6" s="1"/>
  <c r="M362" i="6"/>
  <c r="N362" i="6" s="1"/>
  <c r="M363" i="6"/>
  <c r="N363" i="6" s="1"/>
  <c r="M364" i="6"/>
  <c r="N364" i="6" s="1"/>
  <c r="M365" i="6"/>
  <c r="N365" i="6" s="1"/>
  <c r="M366" i="6"/>
  <c r="N366" i="6" s="1"/>
  <c r="M367" i="6"/>
  <c r="N367" i="6" s="1"/>
  <c r="M368" i="6"/>
  <c r="N368" i="6" s="1"/>
  <c r="M369" i="6"/>
  <c r="N369" i="6" s="1"/>
  <c r="M370" i="6"/>
  <c r="N370" i="6" s="1"/>
  <c r="M371" i="6"/>
  <c r="N371" i="6" s="1"/>
  <c r="M372" i="6"/>
  <c r="N372" i="6" s="1"/>
  <c r="M373" i="6"/>
  <c r="N373" i="6" s="1"/>
  <c r="M374" i="6"/>
  <c r="N374" i="6" s="1"/>
  <c r="M375" i="6"/>
  <c r="N375" i="6" s="1"/>
  <c r="M376" i="6"/>
  <c r="N376" i="6" s="1"/>
  <c r="M377" i="6"/>
  <c r="N377" i="6" s="1"/>
  <c r="M378" i="6"/>
  <c r="N378" i="6" s="1"/>
  <c r="M379" i="6"/>
  <c r="N379" i="6" s="1"/>
  <c r="M380" i="6"/>
  <c r="N380" i="6" s="1"/>
  <c r="M381" i="6"/>
  <c r="N381" i="6" s="1"/>
  <c r="M382" i="6"/>
  <c r="N382" i="6" s="1"/>
  <c r="M383" i="6"/>
  <c r="N383" i="6" s="1"/>
  <c r="M384" i="6"/>
  <c r="N384" i="6" s="1"/>
  <c r="M385" i="6"/>
  <c r="N385" i="6" s="1"/>
  <c r="M386" i="6"/>
  <c r="N386" i="6" s="1"/>
  <c r="M387" i="6"/>
  <c r="N387" i="6" s="1"/>
  <c r="M388" i="6"/>
  <c r="N388" i="6" s="1"/>
  <c r="M389" i="6"/>
  <c r="N389" i="6" s="1"/>
  <c r="M390" i="6"/>
  <c r="N390" i="6" s="1"/>
  <c r="M391" i="6"/>
  <c r="N391" i="6" s="1"/>
  <c r="M392" i="6"/>
  <c r="N392" i="6" s="1"/>
  <c r="M393" i="6"/>
  <c r="N393" i="6" s="1"/>
  <c r="M394" i="6"/>
  <c r="N394" i="6" s="1"/>
  <c r="M395" i="6"/>
  <c r="N395" i="6" s="1"/>
  <c r="M396" i="6"/>
  <c r="N396" i="6" s="1"/>
  <c r="M397" i="6"/>
  <c r="N397" i="6" s="1"/>
  <c r="M398" i="6"/>
  <c r="N398" i="6" s="1"/>
  <c r="M399" i="6"/>
  <c r="N399" i="6" s="1"/>
  <c r="M400" i="6"/>
  <c r="N400" i="6" s="1"/>
  <c r="M401" i="6"/>
  <c r="N401" i="6" s="1"/>
  <c r="M402" i="6"/>
  <c r="N402" i="6" s="1"/>
  <c r="M403" i="6"/>
  <c r="N403" i="6" s="1"/>
  <c r="M404" i="6"/>
  <c r="N404" i="6" s="1"/>
  <c r="M405" i="6"/>
  <c r="N405" i="6" s="1"/>
  <c r="M406" i="6"/>
  <c r="N406" i="6" s="1"/>
  <c r="M407" i="6"/>
  <c r="N407" i="6" s="1"/>
  <c r="M408" i="6"/>
  <c r="N408" i="6" s="1"/>
  <c r="M409" i="6"/>
  <c r="N409" i="6" s="1"/>
  <c r="M410" i="6"/>
  <c r="N410" i="6" s="1"/>
  <c r="M411" i="6"/>
  <c r="N411" i="6" s="1"/>
  <c r="M412" i="6"/>
  <c r="N412" i="6" s="1"/>
  <c r="M413" i="6"/>
  <c r="N413" i="6" s="1"/>
  <c r="M414" i="6"/>
  <c r="N414" i="6" s="1"/>
  <c r="M415" i="6"/>
  <c r="N415" i="6" s="1"/>
  <c r="M416" i="6"/>
  <c r="N416" i="6" s="1"/>
  <c r="M417" i="6"/>
  <c r="N417" i="6" s="1"/>
  <c r="M418" i="6"/>
  <c r="N418" i="6" s="1"/>
  <c r="M419" i="6"/>
  <c r="N419" i="6" s="1"/>
  <c r="M420" i="6"/>
  <c r="N420" i="6" s="1"/>
  <c r="M421" i="6"/>
  <c r="N421" i="6" s="1"/>
  <c r="M422" i="6"/>
  <c r="N422" i="6" s="1"/>
  <c r="M423" i="6"/>
  <c r="N423" i="6" s="1"/>
  <c r="M424" i="6"/>
  <c r="N424" i="6" s="1"/>
  <c r="M425" i="6"/>
  <c r="N425" i="6" s="1"/>
  <c r="M426" i="6"/>
  <c r="N426" i="6" s="1"/>
  <c r="M427" i="6"/>
  <c r="N427" i="6" s="1"/>
  <c r="M428" i="6"/>
  <c r="N428" i="6" s="1"/>
  <c r="M429" i="6"/>
  <c r="N429" i="6" s="1"/>
  <c r="M430" i="6"/>
  <c r="N430" i="6" s="1"/>
  <c r="M431" i="6"/>
  <c r="N431" i="6" s="1"/>
  <c r="M432" i="6"/>
  <c r="N432" i="6" s="1"/>
  <c r="M433" i="6"/>
  <c r="N433" i="6" s="1"/>
  <c r="M434" i="6"/>
  <c r="N434" i="6" s="1"/>
  <c r="M435" i="6"/>
  <c r="N435" i="6" s="1"/>
  <c r="M436" i="6"/>
  <c r="N436" i="6" s="1"/>
  <c r="M437" i="6"/>
  <c r="N437" i="6" s="1"/>
  <c r="M438" i="6"/>
  <c r="N438" i="6" s="1"/>
  <c r="M439" i="6"/>
  <c r="N439" i="6" s="1"/>
  <c r="M8" i="6"/>
  <c r="N8" i="6" s="1"/>
  <c r="O9" i="6"/>
  <c r="P9" i="6" s="1"/>
  <c r="O10" i="6"/>
  <c r="P10" i="6" s="1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30" i="6"/>
  <c r="P30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49" i="6"/>
  <c r="P49" i="6" s="1"/>
  <c r="O50" i="6"/>
  <c r="P50" i="6" s="1"/>
  <c r="O51" i="6"/>
  <c r="P51" i="6" s="1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P59" i="6" s="1"/>
  <c r="O60" i="6"/>
  <c r="P60" i="6" s="1"/>
  <c r="O61" i="6"/>
  <c r="P61" i="6" s="1"/>
  <c r="O62" i="6"/>
  <c r="P62" i="6" s="1"/>
  <c r="O63" i="6"/>
  <c r="P63" i="6" s="1"/>
  <c r="O64" i="6"/>
  <c r="P64" i="6" s="1"/>
  <c r="O65" i="6"/>
  <c r="P65" i="6" s="1"/>
  <c r="O66" i="6"/>
  <c r="P66" i="6" s="1"/>
  <c r="O67" i="6"/>
  <c r="P67" i="6" s="1"/>
  <c r="O68" i="6"/>
  <c r="P68" i="6" s="1"/>
  <c r="O69" i="6"/>
  <c r="P69" i="6" s="1"/>
  <c r="O70" i="6"/>
  <c r="P70" i="6" s="1"/>
  <c r="O71" i="6"/>
  <c r="P71" i="6" s="1"/>
  <c r="O72" i="6"/>
  <c r="P72" i="6" s="1"/>
  <c r="O73" i="6"/>
  <c r="P73" i="6" s="1"/>
  <c r="O74" i="6"/>
  <c r="P74" i="6" s="1"/>
  <c r="O75" i="6"/>
  <c r="P75" i="6" s="1"/>
  <c r="O76" i="6"/>
  <c r="P76" i="6" s="1"/>
  <c r="O77" i="6"/>
  <c r="P77" i="6" s="1"/>
  <c r="O78" i="6"/>
  <c r="P78" i="6" s="1"/>
  <c r="O79" i="6"/>
  <c r="P79" i="6" s="1"/>
  <c r="O80" i="6"/>
  <c r="P80" i="6" s="1"/>
  <c r="O81" i="6"/>
  <c r="P81" i="6" s="1"/>
  <c r="O82" i="6"/>
  <c r="P82" i="6" s="1"/>
  <c r="O83" i="6"/>
  <c r="P83" i="6" s="1"/>
  <c r="O84" i="6"/>
  <c r="P84" i="6" s="1"/>
  <c r="O85" i="6"/>
  <c r="P85" i="6" s="1"/>
  <c r="O86" i="6"/>
  <c r="P86" i="6" s="1"/>
  <c r="O87" i="6"/>
  <c r="P87" i="6" s="1"/>
  <c r="O88" i="6"/>
  <c r="P88" i="6" s="1"/>
  <c r="O89" i="6"/>
  <c r="P89" i="6" s="1"/>
  <c r="O90" i="6"/>
  <c r="P90" i="6" s="1"/>
  <c r="O91" i="6"/>
  <c r="P91" i="6" s="1"/>
  <c r="O92" i="6"/>
  <c r="P92" i="6" s="1"/>
  <c r="O93" i="6"/>
  <c r="P93" i="6" s="1"/>
  <c r="O94" i="6"/>
  <c r="P94" i="6" s="1"/>
  <c r="O95" i="6"/>
  <c r="P95" i="6" s="1"/>
  <c r="O96" i="6"/>
  <c r="P96" i="6" s="1"/>
  <c r="O97" i="6"/>
  <c r="P97" i="6" s="1"/>
  <c r="O98" i="6"/>
  <c r="P98" i="6" s="1"/>
  <c r="O99" i="6"/>
  <c r="P99" i="6" s="1"/>
  <c r="O100" i="6"/>
  <c r="P100" i="6" s="1"/>
  <c r="O101" i="6"/>
  <c r="P101" i="6" s="1"/>
  <c r="O102" i="6"/>
  <c r="P102" i="6" s="1"/>
  <c r="O103" i="6"/>
  <c r="P103" i="6" s="1"/>
  <c r="O104" i="6"/>
  <c r="P104" i="6" s="1"/>
  <c r="O105" i="6"/>
  <c r="P105" i="6" s="1"/>
  <c r="O106" i="6"/>
  <c r="P106" i="6" s="1"/>
  <c r="O107" i="6"/>
  <c r="P107" i="6" s="1"/>
  <c r="O108" i="6"/>
  <c r="P108" i="6" s="1"/>
  <c r="O109" i="6"/>
  <c r="P109" i="6" s="1"/>
  <c r="O110" i="6"/>
  <c r="P110" i="6" s="1"/>
  <c r="O111" i="6"/>
  <c r="P111" i="6" s="1"/>
  <c r="O112" i="6"/>
  <c r="P112" i="6" s="1"/>
  <c r="O113" i="6"/>
  <c r="P113" i="6" s="1"/>
  <c r="O114" i="6"/>
  <c r="P114" i="6" s="1"/>
  <c r="O115" i="6"/>
  <c r="P115" i="6" s="1"/>
  <c r="O116" i="6"/>
  <c r="P116" i="6" s="1"/>
  <c r="O117" i="6"/>
  <c r="P117" i="6" s="1"/>
  <c r="O118" i="6"/>
  <c r="P118" i="6" s="1"/>
  <c r="O119" i="6"/>
  <c r="P119" i="6" s="1"/>
  <c r="O120" i="6"/>
  <c r="P120" i="6" s="1"/>
  <c r="O121" i="6"/>
  <c r="P121" i="6" s="1"/>
  <c r="O122" i="6"/>
  <c r="P122" i="6" s="1"/>
  <c r="O123" i="6"/>
  <c r="P123" i="6" s="1"/>
  <c r="O124" i="6"/>
  <c r="P124" i="6" s="1"/>
  <c r="O125" i="6"/>
  <c r="P125" i="6" s="1"/>
  <c r="O126" i="6"/>
  <c r="P126" i="6" s="1"/>
  <c r="O127" i="6"/>
  <c r="P127" i="6" s="1"/>
  <c r="O128" i="6"/>
  <c r="P128" i="6" s="1"/>
  <c r="O129" i="6"/>
  <c r="P129" i="6" s="1"/>
  <c r="O130" i="6"/>
  <c r="P130" i="6" s="1"/>
  <c r="O131" i="6"/>
  <c r="P131" i="6" s="1"/>
  <c r="O132" i="6"/>
  <c r="P132" i="6" s="1"/>
  <c r="O133" i="6"/>
  <c r="P133" i="6" s="1"/>
  <c r="O134" i="6"/>
  <c r="P134" i="6" s="1"/>
  <c r="O135" i="6"/>
  <c r="P135" i="6" s="1"/>
  <c r="O136" i="6"/>
  <c r="P136" i="6" s="1"/>
  <c r="O137" i="6"/>
  <c r="P137" i="6" s="1"/>
  <c r="O138" i="6"/>
  <c r="P138" i="6" s="1"/>
  <c r="O139" i="6"/>
  <c r="P139" i="6" s="1"/>
  <c r="O140" i="6"/>
  <c r="P140" i="6" s="1"/>
  <c r="O141" i="6"/>
  <c r="P141" i="6" s="1"/>
  <c r="O142" i="6"/>
  <c r="P142" i="6" s="1"/>
  <c r="O143" i="6"/>
  <c r="P143" i="6" s="1"/>
  <c r="O144" i="6"/>
  <c r="P144" i="6" s="1"/>
  <c r="O145" i="6"/>
  <c r="P145" i="6" s="1"/>
  <c r="O146" i="6"/>
  <c r="P146" i="6" s="1"/>
  <c r="O147" i="6"/>
  <c r="P147" i="6" s="1"/>
  <c r="O148" i="6"/>
  <c r="P148" i="6" s="1"/>
  <c r="O149" i="6"/>
  <c r="P149" i="6" s="1"/>
  <c r="O150" i="6"/>
  <c r="P150" i="6" s="1"/>
  <c r="O151" i="6"/>
  <c r="P151" i="6" s="1"/>
  <c r="O152" i="6"/>
  <c r="P152" i="6" s="1"/>
  <c r="O153" i="6"/>
  <c r="P153" i="6" s="1"/>
  <c r="O154" i="6"/>
  <c r="P154" i="6" s="1"/>
  <c r="O155" i="6"/>
  <c r="P155" i="6" s="1"/>
  <c r="O156" i="6"/>
  <c r="P156" i="6" s="1"/>
  <c r="O157" i="6"/>
  <c r="P157" i="6" s="1"/>
  <c r="O158" i="6"/>
  <c r="P158" i="6" s="1"/>
  <c r="O159" i="6"/>
  <c r="P159" i="6" s="1"/>
  <c r="O160" i="6"/>
  <c r="P160" i="6" s="1"/>
  <c r="O161" i="6"/>
  <c r="P161" i="6" s="1"/>
  <c r="O162" i="6"/>
  <c r="P162" i="6" s="1"/>
  <c r="O163" i="6"/>
  <c r="P163" i="6" s="1"/>
  <c r="O164" i="6"/>
  <c r="P164" i="6" s="1"/>
  <c r="O165" i="6"/>
  <c r="P165" i="6" s="1"/>
  <c r="O166" i="6"/>
  <c r="P166" i="6" s="1"/>
  <c r="O167" i="6"/>
  <c r="P167" i="6" s="1"/>
  <c r="O168" i="6"/>
  <c r="P168" i="6" s="1"/>
  <c r="O169" i="6"/>
  <c r="P169" i="6" s="1"/>
  <c r="O170" i="6"/>
  <c r="P170" i="6" s="1"/>
  <c r="O171" i="6"/>
  <c r="P171" i="6" s="1"/>
  <c r="O172" i="6"/>
  <c r="P172" i="6" s="1"/>
  <c r="O173" i="6"/>
  <c r="P173" i="6" s="1"/>
  <c r="O174" i="6"/>
  <c r="P174" i="6" s="1"/>
  <c r="O175" i="6"/>
  <c r="P175" i="6" s="1"/>
  <c r="O176" i="6"/>
  <c r="P176" i="6" s="1"/>
  <c r="O177" i="6"/>
  <c r="P177" i="6" s="1"/>
  <c r="O178" i="6"/>
  <c r="P178" i="6" s="1"/>
  <c r="O179" i="6"/>
  <c r="P179" i="6" s="1"/>
  <c r="O180" i="6"/>
  <c r="P180" i="6" s="1"/>
  <c r="O181" i="6"/>
  <c r="P181" i="6" s="1"/>
  <c r="O182" i="6"/>
  <c r="P182" i="6" s="1"/>
  <c r="O183" i="6"/>
  <c r="P183" i="6" s="1"/>
  <c r="O184" i="6"/>
  <c r="P184" i="6" s="1"/>
  <c r="O185" i="6"/>
  <c r="P185" i="6" s="1"/>
  <c r="O186" i="6"/>
  <c r="P186" i="6" s="1"/>
  <c r="O187" i="6"/>
  <c r="P187" i="6" s="1"/>
  <c r="O188" i="6"/>
  <c r="P188" i="6" s="1"/>
  <c r="O189" i="6"/>
  <c r="P189" i="6" s="1"/>
  <c r="O190" i="6"/>
  <c r="P190" i="6" s="1"/>
  <c r="O191" i="6"/>
  <c r="P191" i="6" s="1"/>
  <c r="O192" i="6"/>
  <c r="P192" i="6" s="1"/>
  <c r="O193" i="6"/>
  <c r="P193" i="6" s="1"/>
  <c r="O194" i="6"/>
  <c r="P194" i="6" s="1"/>
  <c r="O195" i="6"/>
  <c r="P195" i="6" s="1"/>
  <c r="O196" i="6"/>
  <c r="P196" i="6" s="1"/>
  <c r="O197" i="6"/>
  <c r="P197" i="6" s="1"/>
  <c r="O198" i="6"/>
  <c r="P198" i="6" s="1"/>
  <c r="O199" i="6"/>
  <c r="P199" i="6" s="1"/>
  <c r="O200" i="6"/>
  <c r="P200" i="6" s="1"/>
  <c r="O201" i="6"/>
  <c r="P201" i="6" s="1"/>
  <c r="O202" i="6"/>
  <c r="P202" i="6" s="1"/>
  <c r="O203" i="6"/>
  <c r="P203" i="6" s="1"/>
  <c r="O204" i="6"/>
  <c r="P204" i="6" s="1"/>
  <c r="O205" i="6"/>
  <c r="P205" i="6" s="1"/>
  <c r="O206" i="6"/>
  <c r="P206" i="6" s="1"/>
  <c r="O207" i="6"/>
  <c r="P207" i="6" s="1"/>
  <c r="O208" i="6"/>
  <c r="P208" i="6" s="1"/>
  <c r="O209" i="6"/>
  <c r="P209" i="6" s="1"/>
  <c r="O210" i="6"/>
  <c r="P210" i="6" s="1"/>
  <c r="O211" i="6"/>
  <c r="P211" i="6" s="1"/>
  <c r="O212" i="6"/>
  <c r="P212" i="6" s="1"/>
  <c r="O213" i="6"/>
  <c r="P213" i="6" s="1"/>
  <c r="O214" i="6"/>
  <c r="P214" i="6" s="1"/>
  <c r="O215" i="6"/>
  <c r="P215" i="6" s="1"/>
  <c r="O216" i="6"/>
  <c r="P216" i="6" s="1"/>
  <c r="O217" i="6"/>
  <c r="P217" i="6" s="1"/>
  <c r="O218" i="6"/>
  <c r="P218" i="6" s="1"/>
  <c r="O219" i="6"/>
  <c r="P219" i="6" s="1"/>
  <c r="O220" i="6"/>
  <c r="P220" i="6" s="1"/>
  <c r="O221" i="6"/>
  <c r="P221" i="6" s="1"/>
  <c r="O222" i="6"/>
  <c r="P222" i="6" s="1"/>
  <c r="O223" i="6"/>
  <c r="P223" i="6" s="1"/>
  <c r="O224" i="6"/>
  <c r="P224" i="6" s="1"/>
  <c r="O225" i="6"/>
  <c r="P225" i="6" s="1"/>
  <c r="O226" i="6"/>
  <c r="P226" i="6" s="1"/>
  <c r="O227" i="6"/>
  <c r="P227" i="6" s="1"/>
  <c r="O228" i="6"/>
  <c r="P228" i="6" s="1"/>
  <c r="O229" i="6"/>
  <c r="P229" i="6" s="1"/>
  <c r="O230" i="6"/>
  <c r="P230" i="6" s="1"/>
  <c r="O231" i="6"/>
  <c r="P231" i="6" s="1"/>
  <c r="O232" i="6"/>
  <c r="P232" i="6" s="1"/>
  <c r="O233" i="6"/>
  <c r="P233" i="6" s="1"/>
  <c r="O234" i="6"/>
  <c r="P234" i="6" s="1"/>
  <c r="O235" i="6"/>
  <c r="P235" i="6" s="1"/>
  <c r="O236" i="6"/>
  <c r="P236" i="6" s="1"/>
  <c r="O237" i="6"/>
  <c r="P237" i="6" s="1"/>
  <c r="O238" i="6"/>
  <c r="P238" i="6" s="1"/>
  <c r="O239" i="6"/>
  <c r="P239" i="6" s="1"/>
  <c r="O240" i="6"/>
  <c r="P240" i="6" s="1"/>
  <c r="O241" i="6"/>
  <c r="P241" i="6" s="1"/>
  <c r="O242" i="6"/>
  <c r="P242" i="6" s="1"/>
  <c r="O243" i="6"/>
  <c r="P243" i="6" s="1"/>
  <c r="O244" i="6"/>
  <c r="P244" i="6" s="1"/>
  <c r="O245" i="6"/>
  <c r="P245" i="6" s="1"/>
  <c r="O246" i="6"/>
  <c r="P246" i="6" s="1"/>
  <c r="O247" i="6"/>
  <c r="P247" i="6" s="1"/>
  <c r="O248" i="6"/>
  <c r="P248" i="6" s="1"/>
  <c r="O249" i="6"/>
  <c r="P249" i="6" s="1"/>
  <c r="O250" i="6"/>
  <c r="P250" i="6" s="1"/>
  <c r="O251" i="6"/>
  <c r="P251" i="6" s="1"/>
  <c r="O252" i="6"/>
  <c r="P252" i="6" s="1"/>
  <c r="O253" i="6"/>
  <c r="P253" i="6" s="1"/>
  <c r="O254" i="6"/>
  <c r="P254" i="6" s="1"/>
  <c r="O255" i="6"/>
  <c r="P255" i="6" s="1"/>
  <c r="O256" i="6"/>
  <c r="P256" i="6" s="1"/>
  <c r="O257" i="6"/>
  <c r="P257" i="6" s="1"/>
  <c r="O258" i="6"/>
  <c r="P258" i="6" s="1"/>
  <c r="O259" i="6"/>
  <c r="P259" i="6" s="1"/>
  <c r="O260" i="6"/>
  <c r="P260" i="6" s="1"/>
  <c r="O261" i="6"/>
  <c r="P261" i="6" s="1"/>
  <c r="O262" i="6"/>
  <c r="P262" i="6" s="1"/>
  <c r="O263" i="6"/>
  <c r="P263" i="6" s="1"/>
  <c r="O264" i="6"/>
  <c r="P264" i="6" s="1"/>
  <c r="O265" i="6"/>
  <c r="P265" i="6" s="1"/>
  <c r="O266" i="6"/>
  <c r="P266" i="6" s="1"/>
  <c r="O267" i="6"/>
  <c r="P267" i="6" s="1"/>
  <c r="O268" i="6"/>
  <c r="P268" i="6" s="1"/>
  <c r="O269" i="6"/>
  <c r="P269" i="6" s="1"/>
  <c r="O270" i="6"/>
  <c r="P270" i="6" s="1"/>
  <c r="O271" i="6"/>
  <c r="P271" i="6" s="1"/>
  <c r="O272" i="6"/>
  <c r="P272" i="6" s="1"/>
  <c r="O273" i="6"/>
  <c r="P273" i="6" s="1"/>
  <c r="O274" i="6"/>
  <c r="P274" i="6" s="1"/>
  <c r="O275" i="6"/>
  <c r="P275" i="6" s="1"/>
  <c r="O276" i="6"/>
  <c r="P276" i="6" s="1"/>
  <c r="O277" i="6"/>
  <c r="P277" i="6" s="1"/>
  <c r="O278" i="6"/>
  <c r="P278" i="6" s="1"/>
  <c r="O279" i="6"/>
  <c r="P279" i="6" s="1"/>
  <c r="O280" i="6"/>
  <c r="P280" i="6" s="1"/>
  <c r="O281" i="6"/>
  <c r="P281" i="6" s="1"/>
  <c r="O282" i="6"/>
  <c r="P282" i="6" s="1"/>
  <c r="O283" i="6"/>
  <c r="P283" i="6" s="1"/>
  <c r="O284" i="6"/>
  <c r="P284" i="6" s="1"/>
  <c r="O285" i="6"/>
  <c r="P285" i="6" s="1"/>
  <c r="O286" i="6"/>
  <c r="P286" i="6" s="1"/>
  <c r="O287" i="6"/>
  <c r="P287" i="6" s="1"/>
  <c r="O288" i="6"/>
  <c r="P288" i="6" s="1"/>
  <c r="O289" i="6"/>
  <c r="P289" i="6" s="1"/>
  <c r="O290" i="6"/>
  <c r="P290" i="6" s="1"/>
  <c r="O291" i="6"/>
  <c r="P291" i="6" s="1"/>
  <c r="O292" i="6"/>
  <c r="P292" i="6" s="1"/>
  <c r="O293" i="6"/>
  <c r="P293" i="6" s="1"/>
  <c r="O294" i="6"/>
  <c r="P294" i="6" s="1"/>
  <c r="O295" i="6"/>
  <c r="P295" i="6" s="1"/>
  <c r="O296" i="6"/>
  <c r="P296" i="6" s="1"/>
  <c r="O297" i="6"/>
  <c r="P297" i="6" s="1"/>
  <c r="O298" i="6"/>
  <c r="P298" i="6" s="1"/>
  <c r="O299" i="6"/>
  <c r="P299" i="6" s="1"/>
  <c r="O300" i="6"/>
  <c r="P300" i="6" s="1"/>
  <c r="O301" i="6"/>
  <c r="P301" i="6" s="1"/>
  <c r="O302" i="6"/>
  <c r="P302" i="6" s="1"/>
  <c r="O303" i="6"/>
  <c r="P303" i="6" s="1"/>
  <c r="O304" i="6"/>
  <c r="P304" i="6" s="1"/>
  <c r="O305" i="6"/>
  <c r="P305" i="6" s="1"/>
  <c r="O306" i="6"/>
  <c r="P306" i="6" s="1"/>
  <c r="O307" i="6"/>
  <c r="P307" i="6" s="1"/>
  <c r="O308" i="6"/>
  <c r="P308" i="6" s="1"/>
  <c r="O309" i="6"/>
  <c r="P309" i="6" s="1"/>
  <c r="O310" i="6"/>
  <c r="P310" i="6" s="1"/>
  <c r="O311" i="6"/>
  <c r="P311" i="6" s="1"/>
  <c r="O312" i="6"/>
  <c r="P312" i="6" s="1"/>
  <c r="O313" i="6"/>
  <c r="P313" i="6" s="1"/>
  <c r="O314" i="6"/>
  <c r="P314" i="6" s="1"/>
  <c r="O315" i="6"/>
  <c r="P315" i="6" s="1"/>
  <c r="O316" i="6"/>
  <c r="P316" i="6" s="1"/>
  <c r="O317" i="6"/>
  <c r="P317" i="6" s="1"/>
  <c r="O318" i="6"/>
  <c r="P318" i="6" s="1"/>
  <c r="O319" i="6"/>
  <c r="P319" i="6" s="1"/>
  <c r="O320" i="6"/>
  <c r="P320" i="6" s="1"/>
  <c r="O321" i="6"/>
  <c r="P321" i="6" s="1"/>
  <c r="O322" i="6"/>
  <c r="P322" i="6" s="1"/>
  <c r="O323" i="6"/>
  <c r="P323" i="6" s="1"/>
  <c r="O324" i="6"/>
  <c r="P324" i="6" s="1"/>
  <c r="O325" i="6"/>
  <c r="P325" i="6" s="1"/>
  <c r="O326" i="6"/>
  <c r="P326" i="6" s="1"/>
  <c r="O327" i="6"/>
  <c r="P327" i="6" s="1"/>
  <c r="O328" i="6"/>
  <c r="P328" i="6" s="1"/>
  <c r="O329" i="6"/>
  <c r="P329" i="6" s="1"/>
  <c r="O330" i="6"/>
  <c r="P330" i="6" s="1"/>
  <c r="O331" i="6"/>
  <c r="P331" i="6" s="1"/>
  <c r="O332" i="6"/>
  <c r="P332" i="6" s="1"/>
  <c r="O333" i="6"/>
  <c r="P333" i="6" s="1"/>
  <c r="O334" i="6"/>
  <c r="P334" i="6" s="1"/>
  <c r="O335" i="6"/>
  <c r="P335" i="6" s="1"/>
  <c r="O336" i="6"/>
  <c r="P336" i="6" s="1"/>
  <c r="O337" i="6"/>
  <c r="P337" i="6" s="1"/>
  <c r="O338" i="6"/>
  <c r="P338" i="6" s="1"/>
  <c r="O339" i="6"/>
  <c r="P339" i="6" s="1"/>
  <c r="O340" i="6"/>
  <c r="P340" i="6" s="1"/>
  <c r="O341" i="6"/>
  <c r="P341" i="6" s="1"/>
  <c r="O342" i="6"/>
  <c r="P342" i="6" s="1"/>
  <c r="O343" i="6"/>
  <c r="P343" i="6" s="1"/>
  <c r="O344" i="6"/>
  <c r="P344" i="6" s="1"/>
  <c r="O345" i="6"/>
  <c r="P345" i="6" s="1"/>
  <c r="O346" i="6"/>
  <c r="P346" i="6" s="1"/>
  <c r="O347" i="6"/>
  <c r="P347" i="6" s="1"/>
  <c r="O348" i="6"/>
  <c r="P348" i="6" s="1"/>
  <c r="O349" i="6"/>
  <c r="P349" i="6" s="1"/>
  <c r="O350" i="6"/>
  <c r="P350" i="6" s="1"/>
  <c r="O351" i="6"/>
  <c r="P351" i="6" s="1"/>
  <c r="O352" i="6"/>
  <c r="P352" i="6" s="1"/>
  <c r="O353" i="6"/>
  <c r="P353" i="6" s="1"/>
  <c r="O354" i="6"/>
  <c r="P354" i="6" s="1"/>
  <c r="O355" i="6"/>
  <c r="P355" i="6" s="1"/>
  <c r="O356" i="6"/>
  <c r="P356" i="6" s="1"/>
  <c r="O357" i="6"/>
  <c r="P357" i="6" s="1"/>
  <c r="O358" i="6"/>
  <c r="P358" i="6" s="1"/>
  <c r="O359" i="6"/>
  <c r="P359" i="6" s="1"/>
  <c r="O360" i="6"/>
  <c r="P360" i="6" s="1"/>
  <c r="O361" i="6"/>
  <c r="P361" i="6" s="1"/>
  <c r="O362" i="6"/>
  <c r="P362" i="6" s="1"/>
  <c r="O363" i="6"/>
  <c r="P363" i="6" s="1"/>
  <c r="O364" i="6"/>
  <c r="P364" i="6" s="1"/>
  <c r="O365" i="6"/>
  <c r="P365" i="6" s="1"/>
  <c r="O366" i="6"/>
  <c r="P366" i="6" s="1"/>
  <c r="O367" i="6"/>
  <c r="P367" i="6" s="1"/>
  <c r="O368" i="6"/>
  <c r="P368" i="6" s="1"/>
  <c r="O369" i="6"/>
  <c r="P369" i="6" s="1"/>
  <c r="O370" i="6"/>
  <c r="P370" i="6" s="1"/>
  <c r="O371" i="6"/>
  <c r="P371" i="6" s="1"/>
  <c r="O372" i="6"/>
  <c r="P372" i="6" s="1"/>
  <c r="O373" i="6"/>
  <c r="P373" i="6" s="1"/>
  <c r="O374" i="6"/>
  <c r="P374" i="6" s="1"/>
  <c r="O375" i="6"/>
  <c r="P375" i="6" s="1"/>
  <c r="O376" i="6"/>
  <c r="P376" i="6" s="1"/>
  <c r="O377" i="6"/>
  <c r="P377" i="6" s="1"/>
  <c r="O378" i="6"/>
  <c r="P378" i="6" s="1"/>
  <c r="O379" i="6"/>
  <c r="P379" i="6" s="1"/>
  <c r="O380" i="6"/>
  <c r="P380" i="6" s="1"/>
  <c r="O381" i="6"/>
  <c r="P381" i="6" s="1"/>
  <c r="O382" i="6"/>
  <c r="P382" i="6" s="1"/>
  <c r="O383" i="6"/>
  <c r="P383" i="6" s="1"/>
  <c r="O384" i="6"/>
  <c r="P384" i="6" s="1"/>
  <c r="O385" i="6"/>
  <c r="P385" i="6" s="1"/>
  <c r="O386" i="6"/>
  <c r="P386" i="6" s="1"/>
  <c r="O387" i="6"/>
  <c r="P387" i="6" s="1"/>
  <c r="O388" i="6"/>
  <c r="P388" i="6" s="1"/>
  <c r="O389" i="6"/>
  <c r="P389" i="6" s="1"/>
  <c r="O390" i="6"/>
  <c r="P390" i="6" s="1"/>
  <c r="O391" i="6"/>
  <c r="P391" i="6" s="1"/>
  <c r="O392" i="6"/>
  <c r="P392" i="6" s="1"/>
  <c r="O393" i="6"/>
  <c r="P393" i="6" s="1"/>
  <c r="O394" i="6"/>
  <c r="P394" i="6" s="1"/>
  <c r="O395" i="6"/>
  <c r="P395" i="6" s="1"/>
  <c r="O396" i="6"/>
  <c r="P396" i="6" s="1"/>
  <c r="O397" i="6"/>
  <c r="P397" i="6" s="1"/>
  <c r="O398" i="6"/>
  <c r="P398" i="6" s="1"/>
  <c r="O399" i="6"/>
  <c r="P399" i="6" s="1"/>
  <c r="O400" i="6"/>
  <c r="P400" i="6" s="1"/>
  <c r="O401" i="6"/>
  <c r="P401" i="6" s="1"/>
  <c r="O402" i="6"/>
  <c r="P402" i="6" s="1"/>
  <c r="O403" i="6"/>
  <c r="P403" i="6" s="1"/>
  <c r="O404" i="6"/>
  <c r="P404" i="6" s="1"/>
  <c r="O405" i="6"/>
  <c r="P405" i="6" s="1"/>
  <c r="O406" i="6"/>
  <c r="P406" i="6" s="1"/>
  <c r="O407" i="6"/>
  <c r="P407" i="6" s="1"/>
  <c r="O408" i="6"/>
  <c r="P408" i="6" s="1"/>
  <c r="O409" i="6"/>
  <c r="P409" i="6" s="1"/>
  <c r="O410" i="6"/>
  <c r="P410" i="6" s="1"/>
  <c r="O411" i="6"/>
  <c r="P411" i="6" s="1"/>
  <c r="O412" i="6"/>
  <c r="P412" i="6" s="1"/>
  <c r="O413" i="6"/>
  <c r="P413" i="6" s="1"/>
  <c r="O414" i="6"/>
  <c r="P414" i="6" s="1"/>
  <c r="O415" i="6"/>
  <c r="P415" i="6" s="1"/>
  <c r="O416" i="6"/>
  <c r="P416" i="6" s="1"/>
  <c r="O417" i="6"/>
  <c r="P417" i="6" s="1"/>
  <c r="O418" i="6"/>
  <c r="P418" i="6" s="1"/>
  <c r="O419" i="6"/>
  <c r="P419" i="6" s="1"/>
  <c r="O420" i="6"/>
  <c r="P420" i="6" s="1"/>
  <c r="O421" i="6"/>
  <c r="P421" i="6" s="1"/>
  <c r="O422" i="6"/>
  <c r="P422" i="6" s="1"/>
  <c r="O423" i="6"/>
  <c r="P423" i="6" s="1"/>
  <c r="O424" i="6"/>
  <c r="P424" i="6" s="1"/>
  <c r="O425" i="6"/>
  <c r="P425" i="6" s="1"/>
  <c r="O426" i="6"/>
  <c r="P426" i="6" s="1"/>
  <c r="O427" i="6"/>
  <c r="P427" i="6" s="1"/>
  <c r="O428" i="6"/>
  <c r="P428" i="6" s="1"/>
  <c r="O429" i="6"/>
  <c r="P429" i="6" s="1"/>
  <c r="O430" i="6"/>
  <c r="P430" i="6" s="1"/>
  <c r="O431" i="6"/>
  <c r="P431" i="6" s="1"/>
  <c r="O432" i="6"/>
  <c r="P432" i="6" s="1"/>
  <c r="O433" i="6"/>
  <c r="P433" i="6" s="1"/>
  <c r="O434" i="6"/>
  <c r="P434" i="6" s="1"/>
  <c r="O435" i="6"/>
  <c r="P435" i="6" s="1"/>
  <c r="O436" i="6"/>
  <c r="P436" i="6" s="1"/>
  <c r="O437" i="6"/>
  <c r="P437" i="6" s="1"/>
  <c r="O438" i="6"/>
  <c r="P438" i="6" s="1"/>
  <c r="O439" i="6"/>
  <c r="P439" i="6" s="1"/>
  <c r="O8" i="6"/>
  <c r="P8" i="6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N420" i="3"/>
  <c r="O420" i="3" s="1"/>
  <c r="N421" i="3"/>
  <c r="O421" i="3" s="1"/>
  <c r="N422" i="3"/>
  <c r="O422" i="3" s="1"/>
  <c r="N423" i="3"/>
  <c r="O423" i="3" s="1"/>
  <c r="N424" i="3"/>
  <c r="O424" i="3" s="1"/>
  <c r="N425" i="3"/>
  <c r="O425" i="3" s="1"/>
  <c r="N426" i="3"/>
  <c r="O426" i="3" s="1"/>
  <c r="N427" i="3"/>
  <c r="O427" i="3" s="1"/>
  <c r="N428" i="3"/>
  <c r="O428" i="3" s="1"/>
  <c r="N429" i="3"/>
  <c r="O429" i="3" s="1"/>
  <c r="N430" i="3"/>
  <c r="O430" i="3" s="1"/>
  <c r="N431" i="3"/>
  <c r="O431" i="3" s="1"/>
  <c r="N432" i="3"/>
  <c r="O432" i="3" s="1"/>
  <c r="N433" i="3"/>
  <c r="O433" i="3" s="1"/>
  <c r="N434" i="3"/>
  <c r="O434" i="3" s="1"/>
  <c r="N435" i="3"/>
  <c r="O435" i="3" s="1"/>
  <c r="N436" i="3"/>
  <c r="O436" i="3" s="1"/>
  <c r="N437" i="3"/>
  <c r="O437" i="3" s="1"/>
  <c r="N438" i="3"/>
  <c r="O438" i="3" s="1"/>
  <c r="N7" i="3"/>
  <c r="O7" i="3" s="1"/>
  <c r="R8" i="3"/>
  <c r="R9" i="3"/>
  <c r="R10" i="3"/>
  <c r="R12" i="3"/>
  <c r="R13" i="3"/>
  <c r="R14" i="3"/>
  <c r="R16" i="3"/>
  <c r="R17" i="3"/>
  <c r="R18" i="3"/>
  <c r="R20" i="3"/>
  <c r="R21" i="3"/>
  <c r="R22" i="3"/>
  <c r="R24" i="3"/>
  <c r="R25" i="3"/>
  <c r="R26" i="3"/>
  <c r="R28" i="3"/>
  <c r="R29" i="3"/>
  <c r="R30" i="3"/>
  <c r="R32" i="3"/>
  <c r="R33" i="3"/>
  <c r="R34" i="3"/>
  <c r="R36" i="3"/>
  <c r="R37" i="3"/>
  <c r="R38" i="3"/>
  <c r="R40" i="3"/>
  <c r="R41" i="3"/>
  <c r="R42" i="3"/>
  <c r="R44" i="3"/>
  <c r="R45" i="3"/>
  <c r="R46" i="3"/>
  <c r="R48" i="3"/>
  <c r="R49" i="3"/>
  <c r="R50" i="3"/>
  <c r="R52" i="3"/>
  <c r="R53" i="3"/>
  <c r="R54" i="3"/>
  <c r="R56" i="3"/>
  <c r="R57" i="3"/>
  <c r="R58" i="3"/>
  <c r="R60" i="3"/>
  <c r="R61" i="3"/>
  <c r="R62" i="3"/>
  <c r="R64" i="3"/>
  <c r="R65" i="3"/>
  <c r="R66" i="3"/>
  <c r="R68" i="3"/>
  <c r="R69" i="3"/>
  <c r="R70" i="3"/>
  <c r="R72" i="3"/>
  <c r="R73" i="3"/>
  <c r="R74" i="3"/>
  <c r="R76" i="3"/>
  <c r="R77" i="3"/>
  <c r="R78" i="3"/>
  <c r="R80" i="3"/>
  <c r="R81" i="3"/>
  <c r="R82" i="3"/>
  <c r="R84" i="3"/>
  <c r="R85" i="3"/>
  <c r="R86" i="3"/>
  <c r="R88" i="3"/>
  <c r="R89" i="3"/>
  <c r="R90" i="3"/>
  <c r="R92" i="3"/>
  <c r="R93" i="3"/>
  <c r="R94" i="3"/>
  <c r="R96" i="3"/>
  <c r="R97" i="3"/>
  <c r="R98" i="3"/>
  <c r="R100" i="3"/>
  <c r="R101" i="3"/>
  <c r="R102" i="3"/>
  <c r="R104" i="3"/>
  <c r="R105" i="3"/>
  <c r="R106" i="3"/>
  <c r="R108" i="3"/>
  <c r="R109" i="3"/>
  <c r="R110" i="3"/>
  <c r="R112" i="3"/>
  <c r="R113" i="3"/>
  <c r="R114" i="3"/>
  <c r="R116" i="3"/>
  <c r="R117" i="3"/>
  <c r="R118" i="3"/>
  <c r="R120" i="3"/>
  <c r="R121" i="3"/>
  <c r="R122" i="3"/>
  <c r="R124" i="3"/>
  <c r="R125" i="3"/>
  <c r="R126" i="3"/>
  <c r="R128" i="3"/>
  <c r="R129" i="3"/>
  <c r="R130" i="3"/>
  <c r="R132" i="3"/>
  <c r="R133" i="3"/>
  <c r="R134" i="3"/>
  <c r="R136" i="3"/>
  <c r="R137" i="3"/>
  <c r="R138" i="3"/>
  <c r="R140" i="3"/>
  <c r="R141" i="3"/>
  <c r="R142" i="3"/>
  <c r="R144" i="3"/>
  <c r="R145" i="3"/>
  <c r="R146" i="3"/>
  <c r="R148" i="3"/>
  <c r="R149" i="3"/>
  <c r="R150" i="3"/>
  <c r="R152" i="3"/>
  <c r="R153" i="3"/>
  <c r="R154" i="3"/>
  <c r="R156" i="3"/>
  <c r="R157" i="3"/>
  <c r="R158" i="3"/>
  <c r="R160" i="3"/>
  <c r="R161" i="3"/>
  <c r="R162" i="3"/>
  <c r="R164" i="3"/>
  <c r="R165" i="3"/>
  <c r="R166" i="3"/>
  <c r="R168" i="3"/>
  <c r="R169" i="3"/>
  <c r="R170" i="3"/>
  <c r="R172" i="3"/>
  <c r="R173" i="3"/>
  <c r="R174" i="3"/>
  <c r="R176" i="3"/>
  <c r="R177" i="3"/>
  <c r="R178" i="3"/>
  <c r="R180" i="3"/>
  <c r="R181" i="3"/>
  <c r="R182" i="3"/>
  <c r="R184" i="3"/>
  <c r="R185" i="3"/>
  <c r="R186" i="3"/>
  <c r="R188" i="3"/>
  <c r="R189" i="3"/>
  <c r="R190" i="3"/>
  <c r="R192" i="3"/>
  <c r="R193" i="3"/>
  <c r="R194" i="3"/>
  <c r="R196" i="3"/>
  <c r="R197" i="3"/>
  <c r="R198" i="3"/>
  <c r="R200" i="3"/>
  <c r="R201" i="3"/>
  <c r="R202" i="3"/>
  <c r="R204" i="3"/>
  <c r="R205" i="3"/>
  <c r="R206" i="3"/>
  <c r="R208" i="3"/>
  <c r="R209" i="3"/>
  <c r="R210" i="3"/>
  <c r="R212" i="3"/>
  <c r="R213" i="3"/>
  <c r="R214" i="3"/>
  <c r="R216" i="3"/>
  <c r="R217" i="3"/>
  <c r="R218" i="3"/>
  <c r="R220" i="3"/>
  <c r="R221" i="3"/>
  <c r="R222" i="3"/>
  <c r="R224" i="3"/>
  <c r="R225" i="3"/>
  <c r="R226" i="3"/>
  <c r="R228" i="3"/>
  <c r="R229" i="3"/>
  <c r="R230" i="3"/>
  <c r="R232" i="3"/>
  <c r="R233" i="3"/>
  <c r="R234" i="3"/>
  <c r="R236" i="3"/>
  <c r="R237" i="3"/>
  <c r="R238" i="3"/>
  <c r="R240" i="3"/>
  <c r="R241" i="3"/>
  <c r="R242" i="3"/>
  <c r="R244" i="3"/>
  <c r="R245" i="3"/>
  <c r="R246" i="3"/>
  <c r="R248" i="3"/>
  <c r="R249" i="3"/>
  <c r="R250" i="3"/>
  <c r="R252" i="3"/>
  <c r="R253" i="3"/>
  <c r="R254" i="3"/>
  <c r="R256" i="3"/>
  <c r="R257" i="3"/>
  <c r="R258" i="3"/>
  <c r="R260" i="3"/>
  <c r="R261" i="3"/>
  <c r="R262" i="3"/>
  <c r="R264" i="3"/>
  <c r="R265" i="3"/>
  <c r="R266" i="3"/>
  <c r="R268" i="3"/>
  <c r="R269" i="3"/>
  <c r="R270" i="3"/>
  <c r="R272" i="3"/>
  <c r="R273" i="3"/>
  <c r="R274" i="3"/>
  <c r="R276" i="3"/>
  <c r="R277" i="3"/>
  <c r="R278" i="3"/>
  <c r="R280" i="3"/>
  <c r="R281" i="3"/>
  <c r="R282" i="3"/>
  <c r="R284" i="3"/>
  <c r="R285" i="3"/>
  <c r="R286" i="3"/>
  <c r="R288" i="3"/>
  <c r="R289" i="3"/>
  <c r="R290" i="3"/>
  <c r="R292" i="3"/>
  <c r="R293" i="3"/>
  <c r="R294" i="3"/>
  <c r="R296" i="3"/>
  <c r="R297" i="3"/>
  <c r="R298" i="3"/>
  <c r="R300" i="3"/>
  <c r="R301" i="3"/>
  <c r="R302" i="3"/>
  <c r="R304" i="3"/>
  <c r="R305" i="3"/>
  <c r="R306" i="3"/>
  <c r="R308" i="3"/>
  <c r="R309" i="3"/>
  <c r="R310" i="3"/>
  <c r="R312" i="3"/>
  <c r="R313" i="3"/>
  <c r="R314" i="3"/>
  <c r="R316" i="3"/>
  <c r="R317" i="3"/>
  <c r="R318" i="3"/>
  <c r="R320" i="3"/>
  <c r="R321" i="3"/>
  <c r="R322" i="3"/>
  <c r="R324" i="3"/>
  <c r="R325" i="3"/>
  <c r="R326" i="3"/>
  <c r="R328" i="3"/>
  <c r="R329" i="3"/>
  <c r="R330" i="3"/>
  <c r="R332" i="3"/>
  <c r="R333" i="3"/>
  <c r="R334" i="3"/>
  <c r="R336" i="3"/>
  <c r="R337" i="3"/>
  <c r="R338" i="3"/>
  <c r="R340" i="3"/>
  <c r="R341" i="3"/>
  <c r="R342" i="3"/>
  <c r="R344" i="3"/>
  <c r="R345" i="3"/>
  <c r="R346" i="3"/>
  <c r="L23" i="7" l="1"/>
  <c r="G5" i="13" s="1"/>
  <c r="L5" i="13" s="1"/>
  <c r="L24" i="7"/>
  <c r="G6" i="13" s="1"/>
  <c r="L6" i="13" s="1"/>
  <c r="L25" i="7"/>
  <c r="G7" i="13" s="1"/>
  <c r="L7" i="13" s="1"/>
  <c r="L27" i="7"/>
  <c r="G9" i="13" s="1"/>
  <c r="L9" i="13" s="1"/>
  <c r="L26" i="7"/>
  <c r="G8" i="13" s="1"/>
  <c r="L8" i="13" s="1"/>
  <c r="L16" i="7"/>
  <c r="L20" i="7"/>
  <c r="L17" i="7"/>
  <c r="L18" i="7"/>
  <c r="L19" i="7"/>
  <c r="P10" i="11"/>
  <c r="N10" i="11"/>
  <c r="O10" i="11"/>
  <c r="N8" i="9"/>
  <c r="F21" i="11" s="1"/>
  <c r="F24" i="11" s="1"/>
  <c r="O9" i="9"/>
  <c r="F33" i="11" s="1"/>
  <c r="O8" i="9"/>
  <c r="F32" i="11" s="1"/>
  <c r="M10" i="9"/>
  <c r="F12" i="11" s="1"/>
  <c r="G12" i="11" s="1"/>
  <c r="M9" i="9"/>
  <c r="F11" i="11" s="1"/>
  <c r="G11" i="11" s="1"/>
  <c r="N10" i="9"/>
  <c r="F23" i="11" s="1"/>
  <c r="N9" i="9"/>
  <c r="F22" i="11" s="1"/>
  <c r="O10" i="9"/>
  <c r="F34" i="11" s="1"/>
  <c r="E13" i="11"/>
  <c r="F24" i="10"/>
  <c r="I24" i="10"/>
  <c r="M23" i="10" s="1"/>
  <c r="E23" i="11" s="1"/>
  <c r="E24" i="11" s="1"/>
  <c r="H24" i="10"/>
  <c r="M22" i="10" s="1"/>
  <c r="E22" i="11" s="1"/>
  <c r="G24" i="10"/>
  <c r="E35" i="10"/>
  <c r="F30" i="10"/>
  <c r="F35" i="10" s="1"/>
  <c r="I35" i="10"/>
  <c r="M34" i="10" s="1"/>
  <c r="E34" i="11" s="1"/>
  <c r="H32" i="10"/>
  <c r="H35" i="10" s="1"/>
  <c r="M33" i="10" s="1"/>
  <c r="E33" i="11" s="1"/>
  <c r="G33" i="10"/>
  <c r="G35" i="10" s="1"/>
  <c r="M32" i="10" s="1"/>
  <c r="E32" i="11" s="1"/>
  <c r="E24" i="10"/>
  <c r="R263" i="3"/>
  <c r="R135" i="3"/>
  <c r="R247" i="3"/>
  <c r="R119" i="3"/>
  <c r="R327" i="3"/>
  <c r="R199" i="3"/>
  <c r="R71" i="3"/>
  <c r="R311" i="3"/>
  <c r="R183" i="3"/>
  <c r="R55" i="3"/>
  <c r="R438" i="3"/>
  <c r="R406" i="3"/>
  <c r="R374" i="3"/>
  <c r="R434" i="3"/>
  <c r="R418" i="3"/>
  <c r="R402" i="3"/>
  <c r="R386" i="3"/>
  <c r="R370" i="3"/>
  <c r="R354" i="3"/>
  <c r="R422" i="3"/>
  <c r="R358" i="3"/>
  <c r="R430" i="3"/>
  <c r="R414" i="3"/>
  <c r="R398" i="3"/>
  <c r="R382" i="3"/>
  <c r="R366" i="3"/>
  <c r="R350" i="3"/>
  <c r="R295" i="3"/>
  <c r="R231" i="3"/>
  <c r="R167" i="3"/>
  <c r="R103" i="3"/>
  <c r="R39" i="3"/>
  <c r="R390" i="3"/>
  <c r="Q406" i="3"/>
  <c r="R426" i="3"/>
  <c r="R410" i="3"/>
  <c r="R394" i="3"/>
  <c r="R378" i="3"/>
  <c r="R362" i="3"/>
  <c r="R343" i="3"/>
  <c r="R279" i="3"/>
  <c r="R215" i="3"/>
  <c r="R151" i="3"/>
  <c r="R87" i="3"/>
  <c r="R23" i="3"/>
  <c r="Q390" i="3"/>
  <c r="R437" i="3"/>
  <c r="R433" i="3"/>
  <c r="R429" i="3"/>
  <c r="R425" i="3"/>
  <c r="R421" i="3"/>
  <c r="R417" i="3"/>
  <c r="R413" i="3"/>
  <c r="R409" i="3"/>
  <c r="R405" i="3"/>
  <c r="R401" i="3"/>
  <c r="R397" i="3"/>
  <c r="R393" i="3"/>
  <c r="R389" i="3"/>
  <c r="R385" i="3"/>
  <c r="R381" i="3"/>
  <c r="R377" i="3"/>
  <c r="R373" i="3"/>
  <c r="R369" i="3"/>
  <c r="R365" i="3"/>
  <c r="R361" i="3"/>
  <c r="R357" i="3"/>
  <c r="R353" i="3"/>
  <c r="R349" i="3"/>
  <c r="R339" i="3"/>
  <c r="R323" i="3"/>
  <c r="R307" i="3"/>
  <c r="R291" i="3"/>
  <c r="R275" i="3"/>
  <c r="R259" i="3"/>
  <c r="R243" i="3"/>
  <c r="R227" i="3"/>
  <c r="R211" i="3"/>
  <c r="R195" i="3"/>
  <c r="R179" i="3"/>
  <c r="R163" i="3"/>
  <c r="R147" i="3"/>
  <c r="R131" i="3"/>
  <c r="R115" i="3"/>
  <c r="R99" i="3"/>
  <c r="R83" i="3"/>
  <c r="R67" i="3"/>
  <c r="R51" i="3"/>
  <c r="R35" i="3"/>
  <c r="R19" i="3"/>
  <c r="Q438" i="3"/>
  <c r="Q374" i="3"/>
  <c r="R436" i="3"/>
  <c r="R432" i="3"/>
  <c r="R428" i="3"/>
  <c r="R424" i="3"/>
  <c r="R420" i="3"/>
  <c r="R416" i="3"/>
  <c r="R412" i="3"/>
  <c r="R408" i="3"/>
  <c r="R404" i="3"/>
  <c r="R400" i="3"/>
  <c r="R396" i="3"/>
  <c r="R392" i="3"/>
  <c r="R388" i="3"/>
  <c r="R384" i="3"/>
  <c r="R380" i="3"/>
  <c r="R376" i="3"/>
  <c r="R372" i="3"/>
  <c r="R368" i="3"/>
  <c r="R364" i="3"/>
  <c r="R360" i="3"/>
  <c r="R356" i="3"/>
  <c r="R352" i="3"/>
  <c r="R348" i="3"/>
  <c r="R335" i="3"/>
  <c r="R319" i="3"/>
  <c r="R303" i="3"/>
  <c r="R287" i="3"/>
  <c r="R271" i="3"/>
  <c r="R255" i="3"/>
  <c r="R239" i="3"/>
  <c r="R223" i="3"/>
  <c r="R207" i="3"/>
  <c r="R191" i="3"/>
  <c r="R175" i="3"/>
  <c r="R159" i="3"/>
  <c r="R143" i="3"/>
  <c r="R127" i="3"/>
  <c r="R111" i="3"/>
  <c r="R95" i="3"/>
  <c r="R79" i="3"/>
  <c r="R63" i="3"/>
  <c r="R47" i="3"/>
  <c r="R31" i="3"/>
  <c r="R15" i="3"/>
  <c r="Q422" i="3"/>
  <c r="Q358" i="3"/>
  <c r="R435" i="3"/>
  <c r="R431" i="3"/>
  <c r="R427" i="3"/>
  <c r="R423" i="3"/>
  <c r="R419" i="3"/>
  <c r="R415" i="3"/>
  <c r="R411" i="3"/>
  <c r="R407" i="3"/>
  <c r="R403" i="3"/>
  <c r="R399" i="3"/>
  <c r="R395" i="3"/>
  <c r="R391" i="3"/>
  <c r="R387" i="3"/>
  <c r="R383" i="3"/>
  <c r="R379" i="3"/>
  <c r="R375" i="3"/>
  <c r="R371" i="3"/>
  <c r="R367" i="3"/>
  <c r="R363" i="3"/>
  <c r="R359" i="3"/>
  <c r="R355" i="3"/>
  <c r="R351" i="3"/>
  <c r="R347" i="3"/>
  <c r="R331" i="3"/>
  <c r="R315" i="3"/>
  <c r="R299" i="3"/>
  <c r="R283" i="3"/>
  <c r="R267" i="3"/>
  <c r="R251" i="3"/>
  <c r="R235" i="3"/>
  <c r="R219" i="3"/>
  <c r="R203" i="3"/>
  <c r="R187" i="3"/>
  <c r="R171" i="3"/>
  <c r="R155" i="3"/>
  <c r="R139" i="3"/>
  <c r="R123" i="3"/>
  <c r="R107" i="3"/>
  <c r="R91" i="3"/>
  <c r="R75" i="3"/>
  <c r="R59" i="3"/>
  <c r="R43" i="3"/>
  <c r="R27" i="3"/>
  <c r="R11" i="3"/>
  <c r="Q434" i="3"/>
  <c r="Q418" i="3"/>
  <c r="Q402" i="3"/>
  <c r="Q386" i="3"/>
  <c r="Q370" i="3"/>
  <c r="Q354" i="3"/>
  <c r="Q430" i="3"/>
  <c r="Q414" i="3"/>
  <c r="Q398" i="3"/>
  <c r="Q382" i="3"/>
  <c r="Q366" i="3"/>
  <c r="Q350" i="3"/>
  <c r="Q426" i="3"/>
  <c r="Q410" i="3"/>
  <c r="Q394" i="3"/>
  <c r="Q378" i="3"/>
  <c r="Q362" i="3"/>
  <c r="R7" i="3"/>
  <c r="Q55" i="3"/>
  <c r="Q437" i="3"/>
  <c r="Q433" i="3"/>
  <c r="Q429" i="3"/>
  <c r="Q425" i="3"/>
  <c r="Q421" i="3"/>
  <c r="Q417" i="3"/>
  <c r="Q413" i="3"/>
  <c r="Q409" i="3"/>
  <c r="Q405" i="3"/>
  <c r="Q401" i="3"/>
  <c r="Q397" i="3"/>
  <c r="Q393" i="3"/>
  <c r="Q389" i="3"/>
  <c r="Q385" i="3"/>
  <c r="Q381" i="3"/>
  <c r="Q377" i="3"/>
  <c r="Q373" i="3"/>
  <c r="Q369" i="3"/>
  <c r="Q365" i="3"/>
  <c r="Q361" i="3"/>
  <c r="Q357" i="3"/>
  <c r="Q353" i="3"/>
  <c r="Q349" i="3"/>
  <c r="Q339" i="3"/>
  <c r="Q323" i="3"/>
  <c r="Q307" i="3"/>
  <c r="Q291" i="3"/>
  <c r="Q275" i="3"/>
  <c r="Q259" i="3"/>
  <c r="Q243" i="3"/>
  <c r="Q227" i="3"/>
  <c r="Q211" i="3"/>
  <c r="Q195" i="3"/>
  <c r="Q179" i="3"/>
  <c r="Q163" i="3"/>
  <c r="Q147" i="3"/>
  <c r="Q131" i="3"/>
  <c r="Q115" i="3"/>
  <c r="Q99" i="3"/>
  <c r="Q83" i="3"/>
  <c r="Q67" i="3"/>
  <c r="Q51" i="3"/>
  <c r="Q35" i="3"/>
  <c r="Q19" i="3"/>
  <c r="Q327" i="3"/>
  <c r="Q295" i="3"/>
  <c r="Q263" i="3"/>
  <c r="Q231" i="3"/>
  <c r="Q199" i="3"/>
  <c r="Q167" i="3"/>
  <c r="Q135" i="3"/>
  <c r="Q103" i="3"/>
  <c r="Q71" i="3"/>
  <c r="Q39" i="3"/>
  <c r="Q436" i="3"/>
  <c r="Q432" i="3"/>
  <c r="Q428" i="3"/>
  <c r="Q424" i="3"/>
  <c r="Q420" i="3"/>
  <c r="Q416" i="3"/>
  <c r="Q412" i="3"/>
  <c r="Q408" i="3"/>
  <c r="Q404" i="3"/>
  <c r="Q400" i="3"/>
  <c r="Q396" i="3"/>
  <c r="Q392" i="3"/>
  <c r="Q388" i="3"/>
  <c r="Q384" i="3"/>
  <c r="Q380" i="3"/>
  <c r="Q376" i="3"/>
  <c r="Q372" i="3"/>
  <c r="Q368" i="3"/>
  <c r="Q364" i="3"/>
  <c r="Q360" i="3"/>
  <c r="Q356" i="3"/>
  <c r="Q352" i="3"/>
  <c r="Q348" i="3"/>
  <c r="Q335" i="3"/>
  <c r="Q319" i="3"/>
  <c r="Q303" i="3"/>
  <c r="Q287" i="3"/>
  <c r="Q271" i="3"/>
  <c r="Q255" i="3"/>
  <c r="Q239" i="3"/>
  <c r="Q223" i="3"/>
  <c r="Q207" i="3"/>
  <c r="Q191" i="3"/>
  <c r="Q175" i="3"/>
  <c r="Q159" i="3"/>
  <c r="Q143" i="3"/>
  <c r="Q127" i="3"/>
  <c r="Q111" i="3"/>
  <c r="Q95" i="3"/>
  <c r="Q79" i="3"/>
  <c r="Q63" i="3"/>
  <c r="Q47" i="3"/>
  <c r="Q31" i="3"/>
  <c r="Q15" i="3"/>
  <c r="Q343" i="3"/>
  <c r="Q311" i="3"/>
  <c r="Q279" i="3"/>
  <c r="Q247" i="3"/>
  <c r="Q215" i="3"/>
  <c r="Q183" i="3"/>
  <c r="Q151" i="3"/>
  <c r="Q119" i="3"/>
  <c r="Q87" i="3"/>
  <c r="Q23" i="3"/>
  <c r="Q435" i="3"/>
  <c r="Q431" i="3"/>
  <c r="Q427" i="3"/>
  <c r="Q423" i="3"/>
  <c r="Q419" i="3"/>
  <c r="Q415" i="3"/>
  <c r="Q411" i="3"/>
  <c r="Q407" i="3"/>
  <c r="Q403" i="3"/>
  <c r="Q399" i="3"/>
  <c r="Q395" i="3"/>
  <c r="Q391" i="3"/>
  <c r="Q387" i="3"/>
  <c r="Q383" i="3"/>
  <c r="Q379" i="3"/>
  <c r="Q375" i="3"/>
  <c r="Q371" i="3"/>
  <c r="Q367" i="3"/>
  <c r="Q363" i="3"/>
  <c r="Q359" i="3"/>
  <c r="Q355" i="3"/>
  <c r="Q351" i="3"/>
  <c r="Q347" i="3"/>
  <c r="Q331" i="3"/>
  <c r="Q315" i="3"/>
  <c r="Q299" i="3"/>
  <c r="Q283" i="3"/>
  <c r="Q267" i="3"/>
  <c r="Q251" i="3"/>
  <c r="Q235" i="3"/>
  <c r="Q219" i="3"/>
  <c r="Q203" i="3"/>
  <c r="Q187" i="3"/>
  <c r="Q171" i="3"/>
  <c r="Q155" i="3"/>
  <c r="Q139" i="3"/>
  <c r="Q123" i="3"/>
  <c r="Q107" i="3"/>
  <c r="Q91" i="3"/>
  <c r="Q75" i="3"/>
  <c r="Q59" i="3"/>
  <c r="Q43" i="3"/>
  <c r="Q27" i="3"/>
  <c r="Q11" i="3"/>
  <c r="Q7" i="3"/>
  <c r="P438" i="3"/>
  <c r="P430" i="3"/>
  <c r="P422" i="3"/>
  <c r="P414" i="3"/>
  <c r="P406" i="3"/>
  <c r="P398" i="3"/>
  <c r="P390" i="3"/>
  <c r="P386" i="3"/>
  <c r="P374" i="3"/>
  <c r="P366" i="3"/>
  <c r="P358" i="3"/>
  <c r="P354" i="3"/>
  <c r="P343" i="3"/>
  <c r="P311" i="3"/>
  <c r="P279" i="3"/>
  <c r="P247" i="3"/>
  <c r="P215" i="3"/>
  <c r="P183" i="3"/>
  <c r="P167" i="3"/>
  <c r="P119" i="3"/>
  <c r="P87" i="3"/>
  <c r="P71" i="3"/>
  <c r="P23" i="3"/>
  <c r="Q346" i="3"/>
  <c r="P346" i="3"/>
  <c r="Q342" i="3"/>
  <c r="P342" i="3"/>
  <c r="Q338" i="3"/>
  <c r="P338" i="3"/>
  <c r="Q334" i="3"/>
  <c r="P334" i="3"/>
  <c r="Q330" i="3"/>
  <c r="P330" i="3"/>
  <c r="Q326" i="3"/>
  <c r="P326" i="3"/>
  <c r="Q322" i="3"/>
  <c r="P322" i="3"/>
  <c r="Q318" i="3"/>
  <c r="P318" i="3"/>
  <c r="Q314" i="3"/>
  <c r="P314" i="3"/>
  <c r="Q310" i="3"/>
  <c r="P310" i="3"/>
  <c r="Q306" i="3"/>
  <c r="P306" i="3"/>
  <c r="Q302" i="3"/>
  <c r="P302" i="3"/>
  <c r="Q298" i="3"/>
  <c r="P298" i="3"/>
  <c r="Q294" i="3"/>
  <c r="P294" i="3"/>
  <c r="Q290" i="3"/>
  <c r="P290" i="3"/>
  <c r="Q286" i="3"/>
  <c r="P286" i="3"/>
  <c r="Q282" i="3"/>
  <c r="P282" i="3"/>
  <c r="Q278" i="3"/>
  <c r="P278" i="3"/>
  <c r="Q274" i="3"/>
  <c r="P274" i="3"/>
  <c r="Q270" i="3"/>
  <c r="P270" i="3"/>
  <c r="Q266" i="3"/>
  <c r="P266" i="3"/>
  <c r="Q262" i="3"/>
  <c r="P262" i="3"/>
  <c r="Q258" i="3"/>
  <c r="P258" i="3"/>
  <c r="Q254" i="3"/>
  <c r="P254" i="3"/>
  <c r="Q250" i="3"/>
  <c r="P250" i="3"/>
  <c r="Q246" i="3"/>
  <c r="P246" i="3"/>
  <c r="Q242" i="3"/>
  <c r="P242" i="3"/>
  <c r="Q238" i="3"/>
  <c r="P238" i="3"/>
  <c r="Q234" i="3"/>
  <c r="P234" i="3"/>
  <c r="Q230" i="3"/>
  <c r="P230" i="3"/>
  <c r="Q226" i="3"/>
  <c r="P226" i="3"/>
  <c r="Q222" i="3"/>
  <c r="P222" i="3"/>
  <c r="Q218" i="3"/>
  <c r="P218" i="3"/>
  <c r="Q214" i="3"/>
  <c r="P214" i="3"/>
  <c r="Q210" i="3"/>
  <c r="P210" i="3"/>
  <c r="Q206" i="3"/>
  <c r="P206" i="3"/>
  <c r="Q202" i="3"/>
  <c r="P202" i="3"/>
  <c r="Q198" i="3"/>
  <c r="P198" i="3"/>
  <c r="Q194" i="3"/>
  <c r="P194" i="3"/>
  <c r="Q190" i="3"/>
  <c r="P190" i="3"/>
  <c r="Q186" i="3"/>
  <c r="P186" i="3"/>
  <c r="Q182" i="3"/>
  <c r="P182" i="3"/>
  <c r="Q178" i="3"/>
  <c r="P178" i="3"/>
  <c r="Q174" i="3"/>
  <c r="P174" i="3"/>
  <c r="Q170" i="3"/>
  <c r="P170" i="3"/>
  <c r="Q166" i="3"/>
  <c r="P166" i="3"/>
  <c r="Q162" i="3"/>
  <c r="P162" i="3"/>
  <c r="Q158" i="3"/>
  <c r="P158" i="3"/>
  <c r="Q154" i="3"/>
  <c r="P154" i="3"/>
  <c r="Q150" i="3"/>
  <c r="P150" i="3"/>
  <c r="Q146" i="3"/>
  <c r="P146" i="3"/>
  <c r="Q142" i="3"/>
  <c r="P142" i="3"/>
  <c r="Q138" i="3"/>
  <c r="P138" i="3"/>
  <c r="Q134" i="3"/>
  <c r="P134" i="3"/>
  <c r="Q130" i="3"/>
  <c r="P130" i="3"/>
  <c r="Q126" i="3"/>
  <c r="P126" i="3"/>
  <c r="Q122" i="3"/>
  <c r="P122" i="3"/>
  <c r="Q118" i="3"/>
  <c r="P118" i="3"/>
  <c r="Q114" i="3"/>
  <c r="P114" i="3"/>
  <c r="Q110" i="3"/>
  <c r="P110" i="3"/>
  <c r="Q106" i="3"/>
  <c r="P106" i="3"/>
  <c r="Q102" i="3"/>
  <c r="P102" i="3"/>
  <c r="Q98" i="3"/>
  <c r="P98" i="3"/>
  <c r="Q94" i="3"/>
  <c r="P94" i="3"/>
  <c r="Q90" i="3"/>
  <c r="P90" i="3"/>
  <c r="Q86" i="3"/>
  <c r="P86" i="3"/>
  <c r="Q82" i="3"/>
  <c r="P82" i="3"/>
  <c r="Q78" i="3"/>
  <c r="P78" i="3"/>
  <c r="Q74" i="3"/>
  <c r="P74" i="3"/>
  <c r="Q70" i="3"/>
  <c r="P70" i="3"/>
  <c r="Q66" i="3"/>
  <c r="P66" i="3"/>
  <c r="Q62" i="3"/>
  <c r="P62" i="3"/>
  <c r="Q58" i="3"/>
  <c r="P58" i="3"/>
  <c r="Q54" i="3"/>
  <c r="P54" i="3"/>
  <c r="Q50" i="3"/>
  <c r="P50" i="3"/>
  <c r="Q46" i="3"/>
  <c r="P46" i="3"/>
  <c r="Q42" i="3"/>
  <c r="P42" i="3"/>
  <c r="Q38" i="3"/>
  <c r="P38" i="3"/>
  <c r="Q34" i="3"/>
  <c r="P34" i="3"/>
  <c r="Q30" i="3"/>
  <c r="P30" i="3"/>
  <c r="Q26" i="3"/>
  <c r="P26" i="3"/>
  <c r="Q22" i="3"/>
  <c r="P22" i="3"/>
  <c r="Q18" i="3"/>
  <c r="P18" i="3"/>
  <c r="Q14" i="3"/>
  <c r="P14" i="3"/>
  <c r="Q10" i="3"/>
  <c r="P10" i="3"/>
  <c r="P437" i="3"/>
  <c r="P433" i="3"/>
  <c r="P429" i="3"/>
  <c r="P425" i="3"/>
  <c r="P421" i="3"/>
  <c r="P417" i="3"/>
  <c r="P413" i="3"/>
  <c r="P409" i="3"/>
  <c r="P405" i="3"/>
  <c r="P401" i="3"/>
  <c r="P397" i="3"/>
  <c r="P393" i="3"/>
  <c r="P389" i="3"/>
  <c r="P385" i="3"/>
  <c r="P381" i="3"/>
  <c r="P377" i="3"/>
  <c r="P373" i="3"/>
  <c r="P369" i="3"/>
  <c r="P365" i="3"/>
  <c r="P361" i="3"/>
  <c r="P357" i="3"/>
  <c r="P353" i="3"/>
  <c r="P349" i="3"/>
  <c r="P339" i="3"/>
  <c r="P323" i="3"/>
  <c r="P307" i="3"/>
  <c r="P291" i="3"/>
  <c r="P275" i="3"/>
  <c r="P259" i="3"/>
  <c r="P243" i="3"/>
  <c r="P227" i="3"/>
  <c r="P211" i="3"/>
  <c r="P195" i="3"/>
  <c r="P179" i="3"/>
  <c r="P163" i="3"/>
  <c r="P147" i="3"/>
  <c r="P131" i="3"/>
  <c r="P115" i="3"/>
  <c r="P99" i="3"/>
  <c r="P83" i="3"/>
  <c r="P67" i="3"/>
  <c r="P51" i="3"/>
  <c r="P35" i="3"/>
  <c r="P19" i="3"/>
  <c r="P434" i="3"/>
  <c r="P426" i="3"/>
  <c r="P418" i="3"/>
  <c r="P410" i="3"/>
  <c r="P402" i="3"/>
  <c r="P394" i="3"/>
  <c r="P382" i="3"/>
  <c r="P378" i="3"/>
  <c r="P370" i="3"/>
  <c r="P362" i="3"/>
  <c r="P350" i="3"/>
  <c r="P327" i="3"/>
  <c r="P295" i="3"/>
  <c r="P263" i="3"/>
  <c r="P231" i="3"/>
  <c r="P199" i="3"/>
  <c r="P151" i="3"/>
  <c r="P135" i="3"/>
  <c r="P103" i="3"/>
  <c r="P55" i="3"/>
  <c r="P39" i="3"/>
  <c r="Q345" i="3"/>
  <c r="P345" i="3"/>
  <c r="Q341" i="3"/>
  <c r="P341" i="3"/>
  <c r="Q337" i="3"/>
  <c r="P337" i="3"/>
  <c r="Q333" i="3"/>
  <c r="P333" i="3"/>
  <c r="Q329" i="3"/>
  <c r="P329" i="3"/>
  <c r="Q325" i="3"/>
  <c r="P325" i="3"/>
  <c r="Q321" i="3"/>
  <c r="P321" i="3"/>
  <c r="Q317" i="3"/>
  <c r="P317" i="3"/>
  <c r="Q313" i="3"/>
  <c r="P313" i="3"/>
  <c r="Q309" i="3"/>
  <c r="P309" i="3"/>
  <c r="Q305" i="3"/>
  <c r="P305" i="3"/>
  <c r="Q301" i="3"/>
  <c r="P301" i="3"/>
  <c r="Q297" i="3"/>
  <c r="P297" i="3"/>
  <c r="Q293" i="3"/>
  <c r="P293" i="3"/>
  <c r="Q289" i="3"/>
  <c r="P289" i="3"/>
  <c r="Q285" i="3"/>
  <c r="P285" i="3"/>
  <c r="Q281" i="3"/>
  <c r="P281" i="3"/>
  <c r="Q277" i="3"/>
  <c r="P277" i="3"/>
  <c r="Q273" i="3"/>
  <c r="P273" i="3"/>
  <c r="Q269" i="3"/>
  <c r="P269" i="3"/>
  <c r="Q265" i="3"/>
  <c r="P265" i="3"/>
  <c r="Q261" i="3"/>
  <c r="P261" i="3"/>
  <c r="Q257" i="3"/>
  <c r="P257" i="3"/>
  <c r="Q253" i="3"/>
  <c r="P253" i="3"/>
  <c r="Q249" i="3"/>
  <c r="P249" i="3"/>
  <c r="Q245" i="3"/>
  <c r="P245" i="3"/>
  <c r="Q241" i="3"/>
  <c r="P241" i="3"/>
  <c r="Q237" i="3"/>
  <c r="P237" i="3"/>
  <c r="Q233" i="3"/>
  <c r="P233" i="3"/>
  <c r="Q229" i="3"/>
  <c r="P229" i="3"/>
  <c r="Q225" i="3"/>
  <c r="P225" i="3"/>
  <c r="Q221" i="3"/>
  <c r="P221" i="3"/>
  <c r="Q217" i="3"/>
  <c r="P217" i="3"/>
  <c r="Q213" i="3"/>
  <c r="P213" i="3"/>
  <c r="Q209" i="3"/>
  <c r="P209" i="3"/>
  <c r="Q205" i="3"/>
  <c r="P205" i="3"/>
  <c r="Q201" i="3"/>
  <c r="P201" i="3"/>
  <c r="Q197" i="3"/>
  <c r="P197" i="3"/>
  <c r="Q193" i="3"/>
  <c r="P193" i="3"/>
  <c r="Q189" i="3"/>
  <c r="P189" i="3"/>
  <c r="Q185" i="3"/>
  <c r="P185" i="3"/>
  <c r="Q181" i="3"/>
  <c r="P181" i="3"/>
  <c r="Q177" i="3"/>
  <c r="P177" i="3"/>
  <c r="Q173" i="3"/>
  <c r="P173" i="3"/>
  <c r="Q169" i="3"/>
  <c r="P169" i="3"/>
  <c r="Q165" i="3"/>
  <c r="P165" i="3"/>
  <c r="Q161" i="3"/>
  <c r="P161" i="3"/>
  <c r="Q157" i="3"/>
  <c r="P157" i="3"/>
  <c r="Q153" i="3"/>
  <c r="P153" i="3"/>
  <c r="Q149" i="3"/>
  <c r="P149" i="3"/>
  <c r="Q145" i="3"/>
  <c r="P145" i="3"/>
  <c r="Q141" i="3"/>
  <c r="P141" i="3"/>
  <c r="Q137" i="3"/>
  <c r="P137" i="3"/>
  <c r="Q133" i="3"/>
  <c r="P133" i="3"/>
  <c r="Q129" i="3"/>
  <c r="P129" i="3"/>
  <c r="Q125" i="3"/>
  <c r="P125" i="3"/>
  <c r="Q121" i="3"/>
  <c r="P121" i="3"/>
  <c r="Q117" i="3"/>
  <c r="P117" i="3"/>
  <c r="Q113" i="3"/>
  <c r="P113" i="3"/>
  <c r="Q109" i="3"/>
  <c r="P109" i="3"/>
  <c r="Q105" i="3"/>
  <c r="P105" i="3"/>
  <c r="Q101" i="3"/>
  <c r="P101" i="3"/>
  <c r="Q97" i="3"/>
  <c r="P97" i="3"/>
  <c r="Q93" i="3"/>
  <c r="P93" i="3"/>
  <c r="Q89" i="3"/>
  <c r="P89" i="3"/>
  <c r="Q85" i="3"/>
  <c r="P85" i="3"/>
  <c r="Q81" i="3"/>
  <c r="P81" i="3"/>
  <c r="Q77" i="3"/>
  <c r="P77" i="3"/>
  <c r="Q73" i="3"/>
  <c r="P73" i="3"/>
  <c r="Q69" i="3"/>
  <c r="P69" i="3"/>
  <c r="Q65" i="3"/>
  <c r="P65" i="3"/>
  <c r="Q61" i="3"/>
  <c r="P61" i="3"/>
  <c r="Q57" i="3"/>
  <c r="P57" i="3"/>
  <c r="Q53" i="3"/>
  <c r="P53" i="3"/>
  <c r="Q49" i="3"/>
  <c r="P49" i="3"/>
  <c r="Q45" i="3"/>
  <c r="P45" i="3"/>
  <c r="Q41" i="3"/>
  <c r="P41" i="3"/>
  <c r="Q37" i="3"/>
  <c r="P37" i="3"/>
  <c r="Q33" i="3"/>
  <c r="P33" i="3"/>
  <c r="Q29" i="3"/>
  <c r="P29" i="3"/>
  <c r="Q25" i="3"/>
  <c r="P25" i="3"/>
  <c r="Q21" i="3"/>
  <c r="P21" i="3"/>
  <c r="Q17" i="3"/>
  <c r="P17" i="3"/>
  <c r="Q13" i="3"/>
  <c r="P13" i="3"/>
  <c r="Q9" i="3"/>
  <c r="P9" i="3"/>
  <c r="P436" i="3"/>
  <c r="P432" i="3"/>
  <c r="P428" i="3"/>
  <c r="P424" i="3"/>
  <c r="P420" i="3"/>
  <c r="P416" i="3"/>
  <c r="P412" i="3"/>
  <c r="P408" i="3"/>
  <c r="P404" i="3"/>
  <c r="P400" i="3"/>
  <c r="P396" i="3"/>
  <c r="P392" i="3"/>
  <c r="P388" i="3"/>
  <c r="P384" i="3"/>
  <c r="P380" i="3"/>
  <c r="P376" i="3"/>
  <c r="P372" i="3"/>
  <c r="P368" i="3"/>
  <c r="P364" i="3"/>
  <c r="P360" i="3"/>
  <c r="P356" i="3"/>
  <c r="P352" i="3"/>
  <c r="P348" i="3"/>
  <c r="P335" i="3"/>
  <c r="P319" i="3"/>
  <c r="P303" i="3"/>
  <c r="P287" i="3"/>
  <c r="P271" i="3"/>
  <c r="P255" i="3"/>
  <c r="P239" i="3"/>
  <c r="P223" i="3"/>
  <c r="P207" i="3"/>
  <c r="P191" i="3"/>
  <c r="P175" i="3"/>
  <c r="P159" i="3"/>
  <c r="P143" i="3"/>
  <c r="P127" i="3"/>
  <c r="P111" i="3"/>
  <c r="P95" i="3"/>
  <c r="P79" i="3"/>
  <c r="P63" i="3"/>
  <c r="P47" i="3"/>
  <c r="P31" i="3"/>
  <c r="P15" i="3"/>
  <c r="Q344" i="3"/>
  <c r="P344" i="3"/>
  <c r="Q340" i="3"/>
  <c r="P340" i="3"/>
  <c r="Q336" i="3"/>
  <c r="P336" i="3"/>
  <c r="Q332" i="3"/>
  <c r="P332" i="3"/>
  <c r="Q328" i="3"/>
  <c r="P328" i="3"/>
  <c r="Q324" i="3"/>
  <c r="P324" i="3"/>
  <c r="Q320" i="3"/>
  <c r="P320" i="3"/>
  <c r="Q316" i="3"/>
  <c r="P316" i="3"/>
  <c r="Q312" i="3"/>
  <c r="P312" i="3"/>
  <c r="Q308" i="3"/>
  <c r="P308" i="3"/>
  <c r="Q304" i="3"/>
  <c r="P304" i="3"/>
  <c r="Q300" i="3"/>
  <c r="P300" i="3"/>
  <c r="Q296" i="3"/>
  <c r="P296" i="3"/>
  <c r="Q292" i="3"/>
  <c r="P292" i="3"/>
  <c r="Q288" i="3"/>
  <c r="P288" i="3"/>
  <c r="Q284" i="3"/>
  <c r="P284" i="3"/>
  <c r="Q280" i="3"/>
  <c r="P280" i="3"/>
  <c r="Q276" i="3"/>
  <c r="P276" i="3"/>
  <c r="Q272" i="3"/>
  <c r="P272" i="3"/>
  <c r="Q268" i="3"/>
  <c r="P268" i="3"/>
  <c r="Q264" i="3"/>
  <c r="P264" i="3"/>
  <c r="Q260" i="3"/>
  <c r="P260" i="3"/>
  <c r="Q256" i="3"/>
  <c r="P256" i="3"/>
  <c r="Q252" i="3"/>
  <c r="P252" i="3"/>
  <c r="Q248" i="3"/>
  <c r="P248" i="3"/>
  <c r="Q244" i="3"/>
  <c r="P244" i="3"/>
  <c r="Q240" i="3"/>
  <c r="P240" i="3"/>
  <c r="Q236" i="3"/>
  <c r="P236" i="3"/>
  <c r="Q232" i="3"/>
  <c r="P232" i="3"/>
  <c r="Q228" i="3"/>
  <c r="P228" i="3"/>
  <c r="Q224" i="3"/>
  <c r="P224" i="3"/>
  <c r="Q220" i="3"/>
  <c r="P220" i="3"/>
  <c r="Q216" i="3"/>
  <c r="P216" i="3"/>
  <c r="Q212" i="3"/>
  <c r="P212" i="3"/>
  <c r="Q208" i="3"/>
  <c r="P208" i="3"/>
  <c r="Q204" i="3"/>
  <c r="P204" i="3"/>
  <c r="Q200" i="3"/>
  <c r="P200" i="3"/>
  <c r="Q196" i="3"/>
  <c r="P196" i="3"/>
  <c r="Q192" i="3"/>
  <c r="P192" i="3"/>
  <c r="Q188" i="3"/>
  <c r="P188" i="3"/>
  <c r="Q184" i="3"/>
  <c r="P184" i="3"/>
  <c r="Q180" i="3"/>
  <c r="P180" i="3"/>
  <c r="Q176" i="3"/>
  <c r="P176" i="3"/>
  <c r="Q172" i="3"/>
  <c r="P172" i="3"/>
  <c r="Q168" i="3"/>
  <c r="P168" i="3"/>
  <c r="Q164" i="3"/>
  <c r="P164" i="3"/>
  <c r="Q160" i="3"/>
  <c r="P160" i="3"/>
  <c r="Q156" i="3"/>
  <c r="P156" i="3"/>
  <c r="Q152" i="3"/>
  <c r="P152" i="3"/>
  <c r="Q148" i="3"/>
  <c r="P148" i="3"/>
  <c r="Q144" i="3"/>
  <c r="P144" i="3"/>
  <c r="Q140" i="3"/>
  <c r="P140" i="3"/>
  <c r="Q136" i="3"/>
  <c r="P136" i="3"/>
  <c r="Q132" i="3"/>
  <c r="P132" i="3"/>
  <c r="Q128" i="3"/>
  <c r="P128" i="3"/>
  <c r="Q124" i="3"/>
  <c r="P124" i="3"/>
  <c r="Q120" i="3"/>
  <c r="P120" i="3"/>
  <c r="Q116" i="3"/>
  <c r="P116" i="3"/>
  <c r="Q112" i="3"/>
  <c r="P112" i="3"/>
  <c r="Q108" i="3"/>
  <c r="P108" i="3"/>
  <c r="Q104" i="3"/>
  <c r="P104" i="3"/>
  <c r="Q100" i="3"/>
  <c r="P100" i="3"/>
  <c r="Q96" i="3"/>
  <c r="P96" i="3"/>
  <c r="Q92" i="3"/>
  <c r="P92" i="3"/>
  <c r="Q88" i="3"/>
  <c r="P88" i="3"/>
  <c r="Q84" i="3"/>
  <c r="P84" i="3"/>
  <c r="Q80" i="3"/>
  <c r="P80" i="3"/>
  <c r="Q76" i="3"/>
  <c r="P76" i="3"/>
  <c r="Q72" i="3"/>
  <c r="P72" i="3"/>
  <c r="Q68" i="3"/>
  <c r="P68" i="3"/>
  <c r="Q64" i="3"/>
  <c r="P64" i="3"/>
  <c r="Q60" i="3"/>
  <c r="P60" i="3"/>
  <c r="Q56" i="3"/>
  <c r="P56" i="3"/>
  <c r="Q52" i="3"/>
  <c r="P52" i="3"/>
  <c r="Q48" i="3"/>
  <c r="P48" i="3"/>
  <c r="Q44" i="3"/>
  <c r="P44" i="3"/>
  <c r="Q40" i="3"/>
  <c r="P40" i="3"/>
  <c r="Q36" i="3"/>
  <c r="P36" i="3"/>
  <c r="Q32" i="3"/>
  <c r="P32" i="3"/>
  <c r="Q28" i="3"/>
  <c r="P28" i="3"/>
  <c r="Q24" i="3"/>
  <c r="P24" i="3"/>
  <c r="Q20" i="3"/>
  <c r="P20" i="3"/>
  <c r="Q16" i="3"/>
  <c r="P16" i="3"/>
  <c r="Q12" i="3"/>
  <c r="P12" i="3"/>
  <c r="Q8" i="3"/>
  <c r="P8" i="3"/>
  <c r="P435" i="3"/>
  <c r="P431" i="3"/>
  <c r="P427" i="3"/>
  <c r="P423" i="3"/>
  <c r="P419" i="3"/>
  <c r="P415" i="3"/>
  <c r="P411" i="3"/>
  <c r="P407" i="3"/>
  <c r="P403" i="3"/>
  <c r="P399" i="3"/>
  <c r="P395" i="3"/>
  <c r="P391" i="3"/>
  <c r="P387" i="3"/>
  <c r="P383" i="3"/>
  <c r="P379" i="3"/>
  <c r="P375" i="3"/>
  <c r="P371" i="3"/>
  <c r="P367" i="3"/>
  <c r="P363" i="3"/>
  <c r="P359" i="3"/>
  <c r="P355" i="3"/>
  <c r="P351" i="3"/>
  <c r="P347" i="3"/>
  <c r="P331" i="3"/>
  <c r="P315" i="3"/>
  <c r="P299" i="3"/>
  <c r="P283" i="3"/>
  <c r="P267" i="3"/>
  <c r="P251" i="3"/>
  <c r="P235" i="3"/>
  <c r="P219" i="3"/>
  <c r="P203" i="3"/>
  <c r="P187" i="3"/>
  <c r="P171" i="3"/>
  <c r="P155" i="3"/>
  <c r="P139" i="3"/>
  <c r="P123" i="3"/>
  <c r="P107" i="3"/>
  <c r="P91" i="3"/>
  <c r="P75" i="3"/>
  <c r="P59" i="3"/>
  <c r="P43" i="3"/>
  <c r="P27" i="3"/>
  <c r="P11" i="3"/>
  <c r="P7" i="3"/>
  <c r="J9" i="13" l="1"/>
  <c r="K9" i="13"/>
  <c r="J8" i="13"/>
  <c r="K8" i="13"/>
  <c r="J7" i="13"/>
  <c r="K7" i="13"/>
  <c r="J6" i="13"/>
  <c r="K6" i="13"/>
  <c r="J5" i="13"/>
  <c r="K5" i="13"/>
  <c r="G21" i="11"/>
  <c r="N12" i="11"/>
  <c r="O12" i="11"/>
  <c r="P12" i="11"/>
  <c r="F35" i="11"/>
  <c r="N11" i="11"/>
  <c r="O11" i="11"/>
  <c r="P11" i="11"/>
  <c r="G23" i="11"/>
  <c r="G34" i="11"/>
  <c r="G22" i="11"/>
  <c r="G33" i="11"/>
  <c r="G32" i="11"/>
  <c r="E35" i="11"/>
  <c r="M7" i="13" l="1"/>
  <c r="M9" i="13"/>
  <c r="K18" i="13" s="1"/>
  <c r="M8" i="13"/>
  <c r="O33" i="11"/>
  <c r="P33" i="11"/>
  <c r="N33" i="11"/>
  <c r="N22" i="11"/>
  <c r="O22" i="11"/>
  <c r="P22" i="11"/>
  <c r="P34" i="11"/>
  <c r="N34" i="11"/>
  <c r="O34" i="11"/>
  <c r="N32" i="11"/>
  <c r="O32" i="11"/>
  <c r="P32" i="11"/>
  <c r="O23" i="11"/>
  <c r="P23" i="11"/>
  <c r="N23" i="11"/>
  <c r="N21" i="11"/>
  <c r="O21" i="11"/>
  <c r="P21" i="11"/>
  <c r="G3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<sst xmlns="http://schemas.openxmlformats.org/spreadsheetml/2006/main" count="6963" uniqueCount="2324">
  <si>
    <t>Hello User,</t>
  </si>
  <si>
    <t>The building of this model has been divided into 4 parts namely</t>
  </si>
  <si>
    <t xml:space="preserve"> - Exposure at Default</t>
  </si>
  <si>
    <t xml:space="preserve"> - Probability of Default</t>
  </si>
  <si>
    <t xml:space="preserve"> - Loss Given Default</t>
  </si>
  <si>
    <t xml:space="preserve"> - Forward-Looking Information</t>
  </si>
  <si>
    <t>These three parameters will determine the building of Expected Credit Losses for Trade Receivables</t>
  </si>
  <si>
    <t>In the course of building the software app, read and study this excel well.</t>
  </si>
  <si>
    <t>Regards,</t>
  </si>
  <si>
    <t>Olamide A.</t>
  </si>
  <si>
    <t>Exposure at Default Calculation (Part of Impairment Studio)</t>
  </si>
  <si>
    <t>A. For Trade Receivables: EAD = Outstanding Receivable Balance</t>
  </si>
  <si>
    <r>
      <t xml:space="preserve">But a </t>
    </r>
    <r>
      <rPr>
        <b/>
        <sz val="11"/>
        <color theme="1"/>
        <rFont val="Candara"/>
        <family val="2"/>
      </rPr>
      <t>robust model</t>
    </r>
    <r>
      <rPr>
        <sz val="11"/>
        <color theme="1"/>
        <rFont val="Candara"/>
        <family val="2"/>
      </rPr>
      <t xml:space="preserve"> must answer:</t>
    </r>
  </si>
  <si>
    <t>What is the exposure?</t>
  </si>
  <si>
    <t>Where is the risk concentrated?</t>
  </si>
  <si>
    <t>How does exposure behave over time?</t>
  </si>
  <si>
    <t>Which segments drive risk?</t>
  </si>
  <si>
    <t>Is aging deteriorating?</t>
  </si>
  <si>
    <r>
      <t xml:space="preserve">So EAD module = </t>
    </r>
    <r>
      <rPr>
        <b/>
        <sz val="11"/>
        <color theme="1"/>
        <rFont val="Candara"/>
        <family val="2"/>
      </rPr>
      <t>Exposure Measurement + Risk Analytics</t>
    </r>
  </si>
  <si>
    <t>B. Information Requirements for EAD</t>
  </si>
  <si>
    <t>Core Dataset — AR Ledger (Mandatory)</t>
  </si>
  <si>
    <t>Field</t>
  </si>
  <si>
    <t>Description</t>
  </si>
  <si>
    <t>Example</t>
  </si>
  <si>
    <t>Why Needed</t>
  </si>
  <si>
    <t>Customer ID</t>
  </si>
  <si>
    <t>Unique ID</t>
  </si>
  <si>
    <t>C001</t>
  </si>
  <si>
    <t>Customer analysis</t>
  </si>
  <si>
    <t>Steps to follow in general</t>
  </si>
  <si>
    <t>Customer Name</t>
  </si>
  <si>
    <t>Customer name</t>
  </si>
  <si>
    <t>ABC Stores</t>
  </si>
  <si>
    <t>Reporting</t>
  </si>
  <si>
    <t>a. Upload EAD data in the data manager module. This data is called Trade Receivables Balances</t>
  </si>
  <si>
    <t>Invoice No</t>
  </si>
  <si>
    <t>Invoice reference</t>
  </si>
  <si>
    <t>INV1001</t>
  </si>
  <si>
    <t>Traceability</t>
  </si>
  <si>
    <t>b. In the EAD module, make sure you show the EAD Engine… both in table and in graph</t>
  </si>
  <si>
    <t>Invoice Date</t>
  </si>
  <si>
    <t>Date issued</t>
  </si>
  <si>
    <t>Aging trend</t>
  </si>
  <si>
    <t>Also in the EAD module, make sure you have the analysis</t>
  </si>
  <si>
    <t>Due Date</t>
  </si>
  <si>
    <t>Payment due</t>
  </si>
  <si>
    <t>Aging calculation</t>
  </si>
  <si>
    <t>Outstanding Amount</t>
  </si>
  <si>
    <t>Balance</t>
  </si>
  <si>
    <t>EAD</t>
  </si>
  <si>
    <t>Segment</t>
  </si>
  <si>
    <t>Distributor/Retailer</t>
  </si>
  <si>
    <t>Distributor</t>
  </si>
  <si>
    <t>Segmentation</t>
  </si>
  <si>
    <t>Region</t>
  </si>
  <si>
    <t>Geographic region</t>
  </si>
  <si>
    <t>Lagos</t>
  </si>
  <si>
    <t>Concentration</t>
  </si>
  <si>
    <t>Product Type</t>
  </si>
  <si>
    <t>Flour/Rice etc</t>
  </si>
  <si>
    <t>Flour</t>
  </si>
  <si>
    <t>Risk drivers</t>
  </si>
  <si>
    <t>Credit Limit</t>
  </si>
  <si>
    <t>Customer limit</t>
  </si>
  <si>
    <t>10m</t>
  </si>
  <si>
    <t>Utilization</t>
  </si>
  <si>
    <t>Currency</t>
  </si>
  <si>
    <t>NGN/USD</t>
  </si>
  <si>
    <t>NGN</t>
  </si>
  <si>
    <t>FX exposure</t>
  </si>
  <si>
    <t>C. Derived Fields (To be calculated and show in the EAD module)</t>
  </si>
  <si>
    <t>Formula</t>
  </si>
  <si>
    <t>Purpose</t>
  </si>
  <si>
    <t>Days Past Due</t>
  </si>
  <si>
    <t>Today – DueDate</t>
  </si>
  <si>
    <t>Aging</t>
  </si>
  <si>
    <t>Aging Bucket</t>
  </si>
  <si>
    <t>IF formula</t>
  </si>
  <si>
    <t>Provision matrix</t>
  </si>
  <si>
    <t>Exposure Share</t>
  </si>
  <si>
    <t>Balance/Total</t>
  </si>
  <si>
    <t>Balance/CreditLimit</t>
  </si>
  <si>
    <t>Credit risk</t>
  </si>
  <si>
    <t>Invoice Size Band</t>
  </si>
  <si>
    <t>Granularity</t>
  </si>
  <si>
    <t>D. With the above information your EAD is ready to go</t>
  </si>
  <si>
    <t>C179</t>
  </si>
  <si>
    <t>Customer_179</t>
  </si>
  <si>
    <t>INV77671</t>
  </si>
  <si>
    <t>Kano</t>
  </si>
  <si>
    <t>Product Type 2</t>
  </si>
  <si>
    <t>C064</t>
  </si>
  <si>
    <t>Customer_064</t>
  </si>
  <si>
    <t>INV13665</t>
  </si>
  <si>
    <t>Port Harcourt</t>
  </si>
  <si>
    <t>Product Type 4</t>
  </si>
  <si>
    <t>C149</t>
  </si>
  <si>
    <t>Customer_149</t>
  </si>
  <si>
    <t>INV37150</t>
  </si>
  <si>
    <t>Retailer</t>
  </si>
  <si>
    <t>C041</t>
  </si>
  <si>
    <t>Customer_041</t>
  </si>
  <si>
    <t>INV89622</t>
  </si>
  <si>
    <t>C017</t>
  </si>
  <si>
    <t>Customer_017</t>
  </si>
  <si>
    <t>INV65312</t>
  </si>
  <si>
    <t>C192</t>
  </si>
  <si>
    <t>Customer_192</t>
  </si>
  <si>
    <t>INV86095</t>
  </si>
  <si>
    <t>Abuja</t>
  </si>
  <si>
    <t>Product Type 5</t>
  </si>
  <si>
    <t>C057</t>
  </si>
  <si>
    <t>Customer_057</t>
  </si>
  <si>
    <t>INV50639</t>
  </si>
  <si>
    <t>Product Type 1</t>
  </si>
  <si>
    <t>C073</t>
  </si>
  <si>
    <t>Customer_073</t>
  </si>
  <si>
    <t>INV11480</t>
  </si>
  <si>
    <t>C170</t>
  </si>
  <si>
    <t>Customer_170</t>
  </si>
  <si>
    <t>INV73501</t>
  </si>
  <si>
    <t>Product Type 6</t>
  </si>
  <si>
    <t>C185</t>
  </si>
  <si>
    <t>Customer_185</t>
  </si>
  <si>
    <t>INV88619</t>
  </si>
  <si>
    <t>Ibadan</t>
  </si>
  <si>
    <t>C197</t>
  </si>
  <si>
    <t>Customer_197</t>
  </si>
  <si>
    <t>INV68281</t>
  </si>
  <si>
    <t>C198</t>
  </si>
  <si>
    <t>Customer_198</t>
  </si>
  <si>
    <t>INV63279</t>
  </si>
  <si>
    <t>INV33750</t>
  </si>
  <si>
    <t>Export</t>
  </si>
  <si>
    <t>Kaduna</t>
  </si>
  <si>
    <t>C020</t>
  </si>
  <si>
    <t>Customer_020</t>
  </si>
  <si>
    <t>INV58704</t>
  </si>
  <si>
    <t>Product Type 3</t>
  </si>
  <si>
    <t>INV77673</t>
  </si>
  <si>
    <t>C196</t>
  </si>
  <si>
    <t>Customer_196</t>
  </si>
  <si>
    <t>INV75656</t>
  </si>
  <si>
    <t>C133</t>
  </si>
  <si>
    <t>Customer_133</t>
  </si>
  <si>
    <t>INV61936</t>
  </si>
  <si>
    <t>C058</t>
  </si>
  <si>
    <t>Customer_058</t>
  </si>
  <si>
    <t>INV66196</t>
  </si>
  <si>
    <t>C184</t>
  </si>
  <si>
    <t>Customer_184</t>
  </si>
  <si>
    <t>INV19277</t>
  </si>
  <si>
    <t>C102</t>
  </si>
  <si>
    <t>Customer_102</t>
  </si>
  <si>
    <t>INV63647</t>
  </si>
  <si>
    <t>INV33757</t>
  </si>
  <si>
    <t>C143</t>
  </si>
  <si>
    <t>Customer_143</t>
  </si>
  <si>
    <t>INV99947</t>
  </si>
  <si>
    <t>C120</t>
  </si>
  <si>
    <t>Customer_120</t>
  </si>
  <si>
    <t>INV26435</t>
  </si>
  <si>
    <t>C015</t>
  </si>
  <si>
    <t>Customer_015</t>
  </si>
  <si>
    <t>INV85102</t>
  </si>
  <si>
    <t>C042</t>
  </si>
  <si>
    <t>Customer_042</t>
  </si>
  <si>
    <t>INV28092</t>
  </si>
  <si>
    <t>C061</t>
  </si>
  <si>
    <t>Customer_061</t>
  </si>
  <si>
    <t>INV57108</t>
  </si>
  <si>
    <t>C186</t>
  </si>
  <si>
    <t>Customer_186</t>
  </si>
  <si>
    <t>INV76167</t>
  </si>
  <si>
    <t>C002</t>
  </si>
  <si>
    <t>Customer_002</t>
  </si>
  <si>
    <t>INV11494</t>
  </si>
  <si>
    <t>C106</t>
  </si>
  <si>
    <t>Customer_106</t>
  </si>
  <si>
    <t>INV61878</t>
  </si>
  <si>
    <t>C028</t>
  </si>
  <si>
    <t>Customer_028</t>
  </si>
  <si>
    <t>INV75036</t>
  </si>
  <si>
    <t>C008</t>
  </si>
  <si>
    <t>Customer_008</t>
  </si>
  <si>
    <t>INV47407</t>
  </si>
  <si>
    <t>C062</t>
  </si>
  <si>
    <t>Customer_062</t>
  </si>
  <si>
    <t>INV26889</t>
  </si>
  <si>
    <t>C126</t>
  </si>
  <si>
    <t>Customer_126</t>
  </si>
  <si>
    <t>INV41176</t>
  </si>
  <si>
    <t>C168</t>
  </si>
  <si>
    <t>Customer_168</t>
  </si>
  <si>
    <t>INV28491</t>
  </si>
  <si>
    <t>C111</t>
  </si>
  <si>
    <t>Customer_111</t>
  </si>
  <si>
    <t>INV73256</t>
  </si>
  <si>
    <t>C172</t>
  </si>
  <si>
    <t>Customer_172</t>
  </si>
  <si>
    <t>INV49703</t>
  </si>
  <si>
    <t>C194</t>
  </si>
  <si>
    <t>Customer_194</t>
  </si>
  <si>
    <t>INV57992</t>
  </si>
  <si>
    <t>INV66334</t>
  </si>
  <si>
    <t>C142</t>
  </si>
  <si>
    <t>Customer_142</t>
  </si>
  <si>
    <t>INV77786</t>
  </si>
  <si>
    <t>C025</t>
  </si>
  <si>
    <t>Customer_025</t>
  </si>
  <si>
    <t>INV98330</t>
  </si>
  <si>
    <t>C080</t>
  </si>
  <si>
    <t>Customer_080</t>
  </si>
  <si>
    <t>INV87857</t>
  </si>
  <si>
    <t>INV54356</t>
  </si>
  <si>
    <t>C195</t>
  </si>
  <si>
    <t>Customer_195</t>
  </si>
  <si>
    <t>INV13184</t>
  </si>
  <si>
    <t>C147</t>
  </si>
  <si>
    <t>Customer_147</t>
  </si>
  <si>
    <t>INV17878</t>
  </si>
  <si>
    <t>INV79685</t>
  </si>
  <si>
    <t>INV40380</t>
  </si>
  <si>
    <t>C199</t>
  </si>
  <si>
    <t>Customer_199</t>
  </si>
  <si>
    <t>INV73895</t>
  </si>
  <si>
    <t>C127</t>
  </si>
  <si>
    <t>Customer_127</t>
  </si>
  <si>
    <t>INV78933</t>
  </si>
  <si>
    <t>C044</t>
  </si>
  <si>
    <t>Customer_044</t>
  </si>
  <si>
    <t>INV17960</t>
  </si>
  <si>
    <t>C023</t>
  </si>
  <si>
    <t>Customer_023</t>
  </si>
  <si>
    <t>INV88949</t>
  </si>
  <si>
    <t>INV26168</t>
  </si>
  <si>
    <t>INV10859</t>
  </si>
  <si>
    <t>C107</t>
  </si>
  <si>
    <t>Customer_107</t>
  </si>
  <si>
    <t>INV56362</t>
  </si>
  <si>
    <t>C174</t>
  </si>
  <si>
    <t>Customer_174</t>
  </si>
  <si>
    <t>INV26909</t>
  </si>
  <si>
    <t>INV82442</t>
  </si>
  <si>
    <t>C072</t>
  </si>
  <si>
    <t>Customer_072</t>
  </si>
  <si>
    <t>INV73933</t>
  </si>
  <si>
    <t>INV73036</t>
  </si>
  <si>
    <t>C082</t>
  </si>
  <si>
    <t>Customer_082</t>
  </si>
  <si>
    <t>INV31954</t>
  </si>
  <si>
    <t>INV56751</t>
  </si>
  <si>
    <t>C122</t>
  </si>
  <si>
    <t>Customer_122</t>
  </si>
  <si>
    <t>INV88927</t>
  </si>
  <si>
    <t>C074</t>
  </si>
  <si>
    <t>Customer_074</t>
  </si>
  <si>
    <t>INV86968</t>
  </si>
  <si>
    <t>C114</t>
  </si>
  <si>
    <t>Customer_114</t>
  </si>
  <si>
    <t>INV35505</t>
  </si>
  <si>
    <t>C086</t>
  </si>
  <si>
    <t>Customer_086</t>
  </si>
  <si>
    <t>INV41237</t>
  </si>
  <si>
    <t>C083</t>
  </si>
  <si>
    <t>Customer_083</t>
  </si>
  <si>
    <t>INV43777</t>
  </si>
  <si>
    <t>C069</t>
  </si>
  <si>
    <t>Customer_069</t>
  </si>
  <si>
    <t>INV63445</t>
  </si>
  <si>
    <t>C035</t>
  </si>
  <si>
    <t>Customer_035</t>
  </si>
  <si>
    <t>INV42078</t>
  </si>
  <si>
    <t>C119</t>
  </si>
  <si>
    <t>Customer_119</t>
  </si>
  <si>
    <t>INV89912</t>
  </si>
  <si>
    <t>C173</t>
  </si>
  <si>
    <t>Customer_173</t>
  </si>
  <si>
    <t>INV75305</t>
  </si>
  <si>
    <t>C043</t>
  </si>
  <si>
    <t>Customer_043</t>
  </si>
  <si>
    <t>INV16715</t>
  </si>
  <si>
    <t>INV94649</t>
  </si>
  <si>
    <t>C140</t>
  </si>
  <si>
    <t>Customer_140</t>
  </si>
  <si>
    <t>INV85412</t>
  </si>
  <si>
    <t>INV68720</t>
  </si>
  <si>
    <t>C050</t>
  </si>
  <si>
    <t>Customer_050</t>
  </si>
  <si>
    <t>INV50172</t>
  </si>
  <si>
    <t>C081</t>
  </si>
  <si>
    <t>Customer_081</t>
  </si>
  <si>
    <t>INV15495</t>
  </si>
  <si>
    <t>C144</t>
  </si>
  <si>
    <t>Customer_144</t>
  </si>
  <si>
    <t>INV73064</t>
  </si>
  <si>
    <t>C154</t>
  </si>
  <si>
    <t>Customer_154</t>
  </si>
  <si>
    <t>INV52931</t>
  </si>
  <si>
    <t>INV44213</t>
  </si>
  <si>
    <t>C117</t>
  </si>
  <si>
    <t>Customer_117</t>
  </si>
  <si>
    <t>INV63636</t>
  </si>
  <si>
    <t>C045</t>
  </si>
  <si>
    <t>Customer_045</t>
  </si>
  <si>
    <t>INV44710</t>
  </si>
  <si>
    <t>C132</t>
  </si>
  <si>
    <t>Customer_132</t>
  </si>
  <si>
    <t>INV34595</t>
  </si>
  <si>
    <t>C115</t>
  </si>
  <si>
    <t>Customer_115</t>
  </si>
  <si>
    <t>INV40655</t>
  </si>
  <si>
    <t>C084</t>
  </si>
  <si>
    <t>Customer_084</t>
  </si>
  <si>
    <t>INV76324</t>
  </si>
  <si>
    <t>INV36063</t>
  </si>
  <si>
    <t>INV51894</t>
  </si>
  <si>
    <t>INV50988</t>
  </si>
  <si>
    <t>C079</t>
  </si>
  <si>
    <t>Customer_079</t>
  </si>
  <si>
    <t>INV68338</t>
  </si>
  <si>
    <t>C181</t>
  </si>
  <si>
    <t>Customer_181</t>
  </si>
  <si>
    <t>INV91685</t>
  </si>
  <si>
    <t>C033</t>
  </si>
  <si>
    <t>Customer_033</t>
  </si>
  <si>
    <t>INV28680</t>
  </si>
  <si>
    <t>C101</t>
  </si>
  <si>
    <t>Customer_101</t>
  </si>
  <si>
    <t>INV30734</t>
  </si>
  <si>
    <t>C139</t>
  </si>
  <si>
    <t>Customer_139</t>
  </si>
  <si>
    <t>INV86370</t>
  </si>
  <si>
    <t>C034</t>
  </si>
  <si>
    <t>Customer_034</t>
  </si>
  <si>
    <t>INV47106</t>
  </si>
  <si>
    <t>C176</t>
  </si>
  <si>
    <t>Customer_176</t>
  </si>
  <si>
    <t>INV75933</t>
  </si>
  <si>
    <t>INV48164</t>
  </si>
  <si>
    <t>C009</t>
  </si>
  <si>
    <t>Customer_009</t>
  </si>
  <si>
    <t>INV20119</t>
  </si>
  <si>
    <t>C056</t>
  </si>
  <si>
    <t>Customer_056</t>
  </si>
  <si>
    <t>INV23340</t>
  </si>
  <si>
    <t>INV10681</t>
  </si>
  <si>
    <t>C090</t>
  </si>
  <si>
    <t>Customer_090</t>
  </si>
  <si>
    <t>INV94456</t>
  </si>
  <si>
    <t>C092</t>
  </si>
  <si>
    <t>Customer_092</t>
  </si>
  <si>
    <t>INV42249</t>
  </si>
  <si>
    <t>C146</t>
  </si>
  <si>
    <t>Customer_146</t>
  </si>
  <si>
    <t>INV25942</t>
  </si>
  <si>
    <t>INV46039</t>
  </si>
  <si>
    <t>C157</t>
  </si>
  <si>
    <t>Customer_157</t>
  </si>
  <si>
    <t>INV75325</t>
  </si>
  <si>
    <t>INV47005</t>
  </si>
  <si>
    <t>C155</t>
  </si>
  <si>
    <t>Customer_155</t>
  </si>
  <si>
    <t>INV46257</t>
  </si>
  <si>
    <t>INV28556</t>
  </si>
  <si>
    <t>INV71416</t>
  </si>
  <si>
    <t>INV50913</t>
  </si>
  <si>
    <t>C160</t>
  </si>
  <si>
    <t>Customer_160</t>
  </si>
  <si>
    <t>INV68506</t>
  </si>
  <si>
    <t>C200</t>
  </si>
  <si>
    <t>Customer_200</t>
  </si>
  <si>
    <t>INV88749</t>
  </si>
  <si>
    <t>C013</t>
  </si>
  <si>
    <t>Customer_013</t>
  </si>
  <si>
    <t>INV13480</t>
  </si>
  <si>
    <t>INV58790</t>
  </si>
  <si>
    <t>C161</t>
  </si>
  <si>
    <t>Customer_161</t>
  </si>
  <si>
    <t>INV81615</t>
  </si>
  <si>
    <t>INV44722</t>
  </si>
  <si>
    <t>C070</t>
  </si>
  <si>
    <t>Customer_070</t>
  </si>
  <si>
    <t>INV37628</t>
  </si>
  <si>
    <t>C113</t>
  </si>
  <si>
    <t>Customer_113</t>
  </si>
  <si>
    <t>INV95023</t>
  </si>
  <si>
    <t>C124</t>
  </si>
  <si>
    <t>Customer_124</t>
  </si>
  <si>
    <t>INV43952</t>
  </si>
  <si>
    <t>C089</t>
  </si>
  <si>
    <t>Customer_089</t>
  </si>
  <si>
    <t>INV98025</t>
  </si>
  <si>
    <t>INV85119</t>
  </si>
  <si>
    <t>INV29089</t>
  </si>
  <si>
    <t>C006</t>
  </si>
  <si>
    <t>Customer_006</t>
  </si>
  <si>
    <t>INV88363</t>
  </si>
  <si>
    <t>C031</t>
  </si>
  <si>
    <t>Customer_031</t>
  </si>
  <si>
    <t>INV75557</t>
  </si>
  <si>
    <t>C059</t>
  </si>
  <si>
    <t>Customer_059</t>
  </si>
  <si>
    <t>INV60124</t>
  </si>
  <si>
    <t>C151</t>
  </si>
  <si>
    <t>Customer_151</t>
  </si>
  <si>
    <t>INV14314</t>
  </si>
  <si>
    <t>C152</t>
  </si>
  <si>
    <t>Customer_152</t>
  </si>
  <si>
    <t>INV69267</t>
  </si>
  <si>
    <t>INV73674</t>
  </si>
  <si>
    <t>INV47294</t>
  </si>
  <si>
    <t>C067</t>
  </si>
  <si>
    <t>Customer_067</t>
  </si>
  <si>
    <t>INV73116</t>
  </si>
  <si>
    <t>INV75162</t>
  </si>
  <si>
    <t>C053</t>
  </si>
  <si>
    <t>Customer_053</t>
  </si>
  <si>
    <t>INV86109</t>
  </si>
  <si>
    <t>C088</t>
  </si>
  <si>
    <t>Customer_088</t>
  </si>
  <si>
    <t>INV47293</t>
  </si>
  <si>
    <t>INV41072</t>
  </si>
  <si>
    <t>INV35854</t>
  </si>
  <si>
    <t>INV52324</t>
  </si>
  <si>
    <t>INV29627</t>
  </si>
  <si>
    <t>C004</t>
  </si>
  <si>
    <t>Customer_004</t>
  </si>
  <si>
    <t>INV62492</t>
  </si>
  <si>
    <t>C094</t>
  </si>
  <si>
    <t>Customer_094</t>
  </si>
  <si>
    <t>INV36434</t>
  </si>
  <si>
    <t>C098</t>
  </si>
  <si>
    <t>Customer_098</t>
  </si>
  <si>
    <t>INV61173</t>
  </si>
  <si>
    <t>C078</t>
  </si>
  <si>
    <t>Customer_078</t>
  </si>
  <si>
    <t>INV96812</t>
  </si>
  <si>
    <t>INV77417</t>
  </si>
  <si>
    <t>C029</t>
  </si>
  <si>
    <t>Customer_029</t>
  </si>
  <si>
    <t>INV92401</t>
  </si>
  <si>
    <t>INV89602</t>
  </si>
  <si>
    <t>C137</t>
  </si>
  <si>
    <t>Customer_137</t>
  </si>
  <si>
    <t>INV30894</t>
  </si>
  <si>
    <t>INV44400</t>
  </si>
  <si>
    <t>C128</t>
  </si>
  <si>
    <t>Customer_128</t>
  </si>
  <si>
    <t>INV10877</t>
  </si>
  <si>
    <t>INV46509</t>
  </si>
  <si>
    <t>C075</t>
  </si>
  <si>
    <t>Customer_075</t>
  </si>
  <si>
    <t>INV90781</t>
  </si>
  <si>
    <t>C105</t>
  </si>
  <si>
    <t>Customer_105</t>
  </si>
  <si>
    <t>INV52571</t>
  </si>
  <si>
    <t>INV75873</t>
  </si>
  <si>
    <t>INV77881</t>
  </si>
  <si>
    <t>C010</t>
  </si>
  <si>
    <t>Customer_010</t>
  </si>
  <si>
    <t>INV75632</t>
  </si>
  <si>
    <t>C021</t>
  </si>
  <si>
    <t>Customer_021</t>
  </si>
  <si>
    <t>INV26693</t>
  </si>
  <si>
    <t>C065</t>
  </si>
  <si>
    <t>Customer_065</t>
  </si>
  <si>
    <t>INV85469</t>
  </si>
  <si>
    <t>C187</t>
  </si>
  <si>
    <t>Customer_187</t>
  </si>
  <si>
    <t>INV25533</t>
  </si>
  <si>
    <t>C018</t>
  </si>
  <si>
    <t>Customer_018</t>
  </si>
  <si>
    <t>INV66712</t>
  </si>
  <si>
    <t>C022</t>
  </si>
  <si>
    <t>Customer_022</t>
  </si>
  <si>
    <t>INV36789</t>
  </si>
  <si>
    <t>C026</t>
  </si>
  <si>
    <t>Customer_026</t>
  </si>
  <si>
    <t>INV45841</t>
  </si>
  <si>
    <t>C177</t>
  </si>
  <si>
    <t>Customer_177</t>
  </si>
  <si>
    <t>INV64606</t>
  </si>
  <si>
    <t>C134</t>
  </si>
  <si>
    <t>Customer_134</t>
  </si>
  <si>
    <t>INV35274</t>
  </si>
  <si>
    <t>INV76056</t>
  </si>
  <si>
    <t>C040</t>
  </si>
  <si>
    <t>Customer_040</t>
  </si>
  <si>
    <t>INV36247</t>
  </si>
  <si>
    <t>C003</t>
  </si>
  <si>
    <t>Customer_003</t>
  </si>
  <si>
    <t>INV23471</t>
  </si>
  <si>
    <t>INV31567</t>
  </si>
  <si>
    <t>INV21611</t>
  </si>
  <si>
    <t>C016</t>
  </si>
  <si>
    <t>Customer_016</t>
  </si>
  <si>
    <t>INV39963</t>
  </si>
  <si>
    <t>C039</t>
  </si>
  <si>
    <t>Customer_039</t>
  </si>
  <si>
    <t>INV59501</t>
  </si>
  <si>
    <t>INV17816</t>
  </si>
  <si>
    <t>C036</t>
  </si>
  <si>
    <t>Customer_036</t>
  </si>
  <si>
    <t>INV41099</t>
  </si>
  <si>
    <t>INV36065</t>
  </si>
  <si>
    <t>C150</t>
  </si>
  <si>
    <t>Customer_150</t>
  </si>
  <si>
    <t>INV93911</t>
  </si>
  <si>
    <t>C011</t>
  </si>
  <si>
    <t>Customer_011</t>
  </si>
  <si>
    <t>INV16243</t>
  </si>
  <si>
    <t>C112</t>
  </si>
  <si>
    <t>Customer_112</t>
  </si>
  <si>
    <t>INV45781</t>
  </si>
  <si>
    <t>INV85738</t>
  </si>
  <si>
    <t>C047</t>
  </si>
  <si>
    <t>Customer_047</t>
  </si>
  <si>
    <t>INV17981</t>
  </si>
  <si>
    <t>INV66460</t>
  </si>
  <si>
    <t>C108</t>
  </si>
  <si>
    <t>Customer_108</t>
  </si>
  <si>
    <t>INV10250</t>
  </si>
  <si>
    <t>INV66311</t>
  </si>
  <si>
    <t>INV26455</t>
  </si>
  <si>
    <t>INV97911</t>
  </si>
  <si>
    <t>INV44548</t>
  </si>
  <si>
    <t>C019</t>
  </si>
  <si>
    <t>Customer_019</t>
  </si>
  <si>
    <t>INV25319</t>
  </si>
  <si>
    <t>C097</t>
  </si>
  <si>
    <t>Customer_097</t>
  </si>
  <si>
    <t>INV62251</t>
  </si>
  <si>
    <t>INV17868</t>
  </si>
  <si>
    <t>C052</t>
  </si>
  <si>
    <t>Customer_052</t>
  </si>
  <si>
    <t>INV79496</t>
  </si>
  <si>
    <t>INV66837</t>
  </si>
  <si>
    <t>INV71305</t>
  </si>
  <si>
    <t>INV98924</t>
  </si>
  <si>
    <t>INV79490</t>
  </si>
  <si>
    <t>C005</t>
  </si>
  <si>
    <t>Customer_005</t>
  </si>
  <si>
    <t>INV56243</t>
  </si>
  <si>
    <t>INV69434</t>
  </si>
  <si>
    <t>INV38102</t>
  </si>
  <si>
    <t>C103</t>
  </si>
  <si>
    <t>Customer_103</t>
  </si>
  <si>
    <t>INV57024</t>
  </si>
  <si>
    <t>INV20179</t>
  </si>
  <si>
    <t>C159</t>
  </si>
  <si>
    <t>Customer_159</t>
  </si>
  <si>
    <t>INV49581</t>
  </si>
  <si>
    <t>INV27410</t>
  </si>
  <si>
    <t>INV63021</t>
  </si>
  <si>
    <t>INV71391</t>
  </si>
  <si>
    <t>INV62011</t>
  </si>
  <si>
    <t>INV42930</t>
  </si>
  <si>
    <t>INV74943</t>
  </si>
  <si>
    <t>C141</t>
  </si>
  <si>
    <t>Customer_141</t>
  </si>
  <si>
    <t>INV52479</t>
  </si>
  <si>
    <t>C063</t>
  </si>
  <si>
    <t>Customer_063</t>
  </si>
  <si>
    <t>INV10160</t>
  </si>
  <si>
    <t>INV72931</t>
  </si>
  <si>
    <t>INV52483</t>
  </si>
  <si>
    <t>INV47789</t>
  </si>
  <si>
    <t>INV73447</t>
  </si>
  <si>
    <t>C123</t>
  </si>
  <si>
    <t>Customer_123</t>
  </si>
  <si>
    <t>INV79307</t>
  </si>
  <si>
    <t>INV71582</t>
  </si>
  <si>
    <t>INV70683</t>
  </si>
  <si>
    <t>C060</t>
  </si>
  <si>
    <t>Customer_060</t>
  </si>
  <si>
    <t>INV70294</t>
  </si>
  <si>
    <t>INV51310</t>
  </si>
  <si>
    <t>INV28869</t>
  </si>
  <si>
    <t>C138</t>
  </si>
  <si>
    <t>Customer_138</t>
  </si>
  <si>
    <t>INV86053</t>
  </si>
  <si>
    <t>C027</t>
  </si>
  <si>
    <t>Customer_027</t>
  </si>
  <si>
    <t>INV86840</t>
  </si>
  <si>
    <t>C125</t>
  </si>
  <si>
    <t>Customer_125</t>
  </si>
  <si>
    <t>INV26757</t>
  </si>
  <si>
    <t>INV39792</t>
  </si>
  <si>
    <t>C104</t>
  </si>
  <si>
    <t>Customer_104</t>
  </si>
  <si>
    <t>INV41737</t>
  </si>
  <si>
    <t>INV57517</t>
  </si>
  <si>
    <t>INV71172</t>
  </si>
  <si>
    <t>C037</t>
  </si>
  <si>
    <t>Customer_037</t>
  </si>
  <si>
    <t>INV34812</t>
  </si>
  <si>
    <t>C007</t>
  </si>
  <si>
    <t>Customer_007</t>
  </si>
  <si>
    <t>INV66610</t>
  </si>
  <si>
    <t>INV37805</t>
  </si>
  <si>
    <t>INV29079</t>
  </si>
  <si>
    <t>INV56375</t>
  </si>
  <si>
    <t>INV62889</t>
  </si>
  <si>
    <t>INV71529</t>
  </si>
  <si>
    <t>INV33368</t>
  </si>
  <si>
    <t>C130</t>
  </si>
  <si>
    <t>Customer_130</t>
  </si>
  <si>
    <t>INV93366</t>
  </si>
  <si>
    <t>C077</t>
  </si>
  <si>
    <t>Customer_077</t>
  </si>
  <si>
    <t>INV29450</t>
  </si>
  <si>
    <t>C193</t>
  </si>
  <si>
    <t>Customer_193</t>
  </si>
  <si>
    <t>INV20804</t>
  </si>
  <si>
    <t>INV87372</t>
  </si>
  <si>
    <t>C085</t>
  </si>
  <si>
    <t>Customer_085</t>
  </si>
  <si>
    <t>INV88716</t>
  </si>
  <si>
    <t>INV73741</t>
  </si>
  <si>
    <t>INV28676</t>
  </si>
  <si>
    <t>INV45536</t>
  </si>
  <si>
    <t>C135</t>
  </si>
  <si>
    <t>Customer_135</t>
  </si>
  <si>
    <t>INV89759</t>
  </si>
  <si>
    <t>INV48790</t>
  </si>
  <si>
    <t>C158</t>
  </si>
  <si>
    <t>Customer_158</t>
  </si>
  <si>
    <t>INV68874</t>
  </si>
  <si>
    <t>INV91718</t>
  </si>
  <si>
    <t>INV51190</t>
  </si>
  <si>
    <t>INV58184</t>
  </si>
  <si>
    <t>C190</t>
  </si>
  <si>
    <t>Customer_190</t>
  </si>
  <si>
    <t>INV12381</t>
  </si>
  <si>
    <t>C068</t>
  </si>
  <si>
    <t>Customer_068</t>
  </si>
  <si>
    <t>INV63808</t>
  </si>
  <si>
    <t>INV41526</t>
  </si>
  <si>
    <t>C167</t>
  </si>
  <si>
    <t>Customer_167</t>
  </si>
  <si>
    <t>INV43258</t>
  </si>
  <si>
    <t>C116</t>
  </si>
  <si>
    <t>Customer_116</t>
  </si>
  <si>
    <t>INV34152</t>
  </si>
  <si>
    <t>C049</t>
  </si>
  <si>
    <t>Customer_049</t>
  </si>
  <si>
    <t>INV74996</t>
  </si>
  <si>
    <t>INV41948</t>
  </si>
  <si>
    <t>INV76534</t>
  </si>
  <si>
    <t>INV97136</t>
  </si>
  <si>
    <t>Customer_001</t>
  </si>
  <si>
    <t>INV86154</t>
  </si>
  <si>
    <t>INV33158</t>
  </si>
  <si>
    <t>INV28839</t>
  </si>
  <si>
    <t>INV16122</t>
  </si>
  <si>
    <t>INV98204</t>
  </si>
  <si>
    <t>C175</t>
  </si>
  <si>
    <t>Customer_175</t>
  </si>
  <si>
    <t>INV26029</t>
  </si>
  <si>
    <t>INV89499</t>
  </si>
  <si>
    <t>INV87558</t>
  </si>
  <si>
    <t>INV43890</t>
  </si>
  <si>
    <t>INV94127</t>
  </si>
  <si>
    <t>C095</t>
  </si>
  <si>
    <t>Customer_095</t>
  </si>
  <si>
    <t>INV76258</t>
  </si>
  <si>
    <t>INV24163</t>
  </si>
  <si>
    <t>C066</t>
  </si>
  <si>
    <t>Customer_066</t>
  </si>
  <si>
    <t>INV64977</t>
  </si>
  <si>
    <t>INV95922</t>
  </si>
  <si>
    <t>INV26911</t>
  </si>
  <si>
    <t>INV53303</t>
  </si>
  <si>
    <t>C166</t>
  </si>
  <si>
    <t>Customer_166</t>
  </si>
  <si>
    <t>INV67585</t>
  </si>
  <si>
    <t>INV23059</t>
  </si>
  <si>
    <t>INV71644</t>
  </si>
  <si>
    <t>C012</t>
  </si>
  <si>
    <t>Customer_012</t>
  </si>
  <si>
    <t>INV40260</t>
  </si>
  <si>
    <t>INV57947</t>
  </si>
  <si>
    <t>INV11734</t>
  </si>
  <si>
    <t>INV29620</t>
  </si>
  <si>
    <t>INV44507</t>
  </si>
  <si>
    <t>INV78322</t>
  </si>
  <si>
    <t>INV65627</t>
  </si>
  <si>
    <t>INV92709</t>
  </si>
  <si>
    <t>INV36642</t>
  </si>
  <si>
    <t>INV48842</t>
  </si>
  <si>
    <t>INV24472</t>
  </si>
  <si>
    <t>INV97756</t>
  </si>
  <si>
    <t>C118</t>
  </si>
  <si>
    <t>Customer_118</t>
  </si>
  <si>
    <t>INV92546</t>
  </si>
  <si>
    <t>INV27968</t>
  </si>
  <si>
    <t>C145</t>
  </si>
  <si>
    <t>Customer_145</t>
  </si>
  <si>
    <t>INV65563</t>
  </si>
  <si>
    <t>C178</t>
  </si>
  <si>
    <t>Customer_178</t>
  </si>
  <si>
    <t>INV32867</t>
  </si>
  <si>
    <t>INV30526</t>
  </si>
  <si>
    <t>INV35167</t>
  </si>
  <si>
    <t>INV41232</t>
  </si>
  <si>
    <t>INV19127</t>
  </si>
  <si>
    <t>INV22061</t>
  </si>
  <si>
    <t>INV25666</t>
  </si>
  <si>
    <t>INV25965</t>
  </si>
  <si>
    <t>INV73347</t>
  </si>
  <si>
    <t>INV87056</t>
  </si>
  <si>
    <t>INV62945</t>
  </si>
  <si>
    <t>INV56082</t>
  </si>
  <si>
    <t>INV32863</t>
  </si>
  <si>
    <t>INV64638</t>
  </si>
  <si>
    <t>INV77947</t>
  </si>
  <si>
    <t>INV24679</t>
  </si>
  <si>
    <t>INV53353</t>
  </si>
  <si>
    <t>INV57671</t>
  </si>
  <si>
    <t>INV24405</t>
  </si>
  <si>
    <t>INV16537</t>
  </si>
  <si>
    <t>INV11182</t>
  </si>
  <si>
    <t>INV59559</t>
  </si>
  <si>
    <t>INV20494</t>
  </si>
  <si>
    <t>INV57092</t>
  </si>
  <si>
    <t>INV57070</t>
  </si>
  <si>
    <t>C014</t>
  </si>
  <si>
    <t>Customer_014</t>
  </si>
  <si>
    <t>INV31419</t>
  </si>
  <si>
    <t>C136</t>
  </si>
  <si>
    <t>Customer_136</t>
  </si>
  <si>
    <t>INV88655</t>
  </si>
  <si>
    <t>C188</t>
  </si>
  <si>
    <t>Customer_188</t>
  </si>
  <si>
    <t>INV29642</t>
  </si>
  <si>
    <t>INV55947</t>
  </si>
  <si>
    <t>INV44248</t>
  </si>
  <si>
    <t>INV25173</t>
  </si>
  <si>
    <t>INV29236</t>
  </si>
  <si>
    <t>INV72419</t>
  </si>
  <si>
    <t>C165</t>
  </si>
  <si>
    <t>Customer_165</t>
  </si>
  <si>
    <t>INV47141</t>
  </si>
  <si>
    <t>INV47385</t>
  </si>
  <si>
    <t>INV87316</t>
  </si>
  <si>
    <t>INV46368</t>
  </si>
  <si>
    <t>INV64419</t>
  </si>
  <si>
    <t>INV29029</t>
  </si>
  <si>
    <t>INV41758</t>
  </si>
  <si>
    <t>INV85495</t>
  </si>
  <si>
    <t>INV30676</t>
  </si>
  <si>
    <t>INV23115</t>
  </si>
  <si>
    <t>INV84751</t>
  </si>
  <si>
    <t>INV34351</t>
  </si>
  <si>
    <t>INV13785</t>
  </si>
  <si>
    <t>INV94623</t>
  </si>
  <si>
    <t>INV94238</t>
  </si>
  <si>
    <t>C148</t>
  </si>
  <si>
    <t>Customer_148</t>
  </si>
  <si>
    <t>INV70638</t>
  </si>
  <si>
    <t>C076</t>
  </si>
  <si>
    <t>Customer_076</t>
  </si>
  <si>
    <t>INV26939</t>
  </si>
  <si>
    <t>C110</t>
  </si>
  <si>
    <t>Customer_110</t>
  </si>
  <si>
    <t>INV12800</t>
  </si>
  <si>
    <t>C153</t>
  </si>
  <si>
    <t>Customer_153</t>
  </si>
  <si>
    <t>INV75267</t>
  </si>
  <si>
    <t>INV78391</t>
  </si>
  <si>
    <t>INV75771</t>
  </si>
  <si>
    <t>INV72194</t>
  </si>
  <si>
    <t>INV82753</t>
  </si>
  <si>
    <t>INV47347</t>
  </si>
  <si>
    <t>INV90558</t>
  </si>
  <si>
    <t>C189</t>
  </si>
  <si>
    <t>Customer_189</t>
  </si>
  <si>
    <t>INV88991</t>
  </si>
  <si>
    <t>INV50515</t>
  </si>
  <si>
    <t>INV32330</t>
  </si>
  <si>
    <t>INV84325</t>
  </si>
  <si>
    <t>C100</t>
  </si>
  <si>
    <t>Customer_100</t>
  </si>
  <si>
    <t>INV92990</t>
  </si>
  <si>
    <t>INV19033</t>
  </si>
  <si>
    <t>INV60459</t>
  </si>
  <si>
    <t>INV78280</t>
  </si>
  <si>
    <t>INV53016</t>
  </si>
  <si>
    <t>C048</t>
  </si>
  <si>
    <t>Customer_048</t>
  </si>
  <si>
    <t>INV82315</t>
  </si>
  <si>
    <t>INV60791</t>
  </si>
  <si>
    <t>INV90067</t>
  </si>
  <si>
    <t>INV23111</t>
  </si>
  <si>
    <t>INV74802</t>
  </si>
  <si>
    <t>C087</t>
  </si>
  <si>
    <t>Customer_087</t>
  </si>
  <si>
    <t>INV74772</t>
  </si>
  <si>
    <t>INV72313</t>
  </si>
  <si>
    <t>INV49696</t>
  </si>
  <si>
    <t>C055</t>
  </si>
  <si>
    <t>Customer_055</t>
  </si>
  <si>
    <t>INV24669</t>
  </si>
  <si>
    <t>INV39649</t>
  </si>
  <si>
    <t>INV74558</t>
  </si>
  <si>
    <t>INV10280</t>
  </si>
  <si>
    <t>INV96476</t>
  </si>
  <si>
    <t>INV80043</t>
  </si>
  <si>
    <t>INV86622</t>
  </si>
  <si>
    <t>INV83812</t>
  </si>
  <si>
    <t>INV90847</t>
  </si>
  <si>
    <t>INV41061</t>
  </si>
  <si>
    <t>INV89053</t>
  </si>
  <si>
    <t>INV78310</t>
  </si>
  <si>
    <t>INV99000</t>
  </si>
  <si>
    <t>INV49734</t>
  </si>
  <si>
    <t>INV68194</t>
  </si>
  <si>
    <t>INV51751</t>
  </si>
  <si>
    <t>INV49483</t>
  </si>
  <si>
    <t>INV20525</t>
  </si>
  <si>
    <t>INV54363</t>
  </si>
  <si>
    <t>C164</t>
  </si>
  <si>
    <t>Customer_164</t>
  </si>
  <si>
    <t>INV97653</t>
  </si>
  <si>
    <t>INV98097</t>
  </si>
  <si>
    <t>C162</t>
  </si>
  <si>
    <t>Customer_162</t>
  </si>
  <si>
    <t>INV82769</t>
  </si>
  <si>
    <t>INV16991</t>
  </si>
  <si>
    <t>INV91159</t>
  </si>
  <si>
    <t>INV96721</t>
  </si>
  <si>
    <t>INV69464</t>
  </si>
  <si>
    <t>C171</t>
  </si>
  <si>
    <t>Customer_171</t>
  </si>
  <si>
    <t>INV13447</t>
  </si>
  <si>
    <t>INV46499</t>
  </si>
  <si>
    <t>C038</t>
  </si>
  <si>
    <t>Customer_038</t>
  </si>
  <si>
    <t>INV31243</t>
  </si>
  <si>
    <t>INV80979</t>
  </si>
  <si>
    <t>INV83883</t>
  </si>
  <si>
    <t>INV43347</t>
  </si>
  <si>
    <t>INV81708</t>
  </si>
  <si>
    <t>INV89369</t>
  </si>
  <si>
    <t>INV19834</t>
  </si>
  <si>
    <t>INV65421</t>
  </si>
  <si>
    <t>INV41290</t>
  </si>
  <si>
    <t>INV98725</t>
  </si>
  <si>
    <t>INV70120</t>
  </si>
  <si>
    <t>INV89920</t>
  </si>
  <si>
    <t>INV72638</t>
  </si>
  <si>
    <t>INV59312</t>
  </si>
  <si>
    <t>INV31514</t>
  </si>
  <si>
    <t>C182</t>
  </si>
  <si>
    <t>Customer_182</t>
  </si>
  <si>
    <t>INV81689</t>
  </si>
  <si>
    <t>INV63198</t>
  </si>
  <si>
    <t>INV57735</t>
  </si>
  <si>
    <t>INV34854</t>
  </si>
  <si>
    <t>INV56267</t>
  </si>
  <si>
    <t>INV20780</t>
  </si>
  <si>
    <t>INV80591</t>
  </si>
  <si>
    <t>INV63189</t>
  </si>
  <si>
    <t>INV10745</t>
  </si>
  <si>
    <t>INV64053</t>
  </si>
  <si>
    <t>INV73652</t>
  </si>
  <si>
    <t>INV27402</t>
  </si>
  <si>
    <t>INV21280</t>
  </si>
  <si>
    <t>INV41104</t>
  </si>
  <si>
    <t>INV37616</t>
  </si>
  <si>
    <t>INV93994</t>
  </si>
  <si>
    <t>INV11623</t>
  </si>
  <si>
    <t>INV38824</t>
  </si>
  <si>
    <t>INV38008</t>
  </si>
  <si>
    <t>INV18546</t>
  </si>
  <si>
    <t>INV78099</t>
  </si>
  <si>
    <t>INV18562</t>
  </si>
  <si>
    <t>INV74278</t>
  </si>
  <si>
    <t>INV53047</t>
  </si>
  <si>
    <t>INV78849</t>
  </si>
  <si>
    <t>INV75987</t>
  </si>
  <si>
    <t>INV87405</t>
  </si>
  <si>
    <t>INV64269</t>
  </si>
  <si>
    <t>C191</t>
  </si>
  <si>
    <t>Customer_191</t>
  </si>
  <si>
    <t>INV44048</t>
  </si>
  <si>
    <t>INV92874</t>
  </si>
  <si>
    <t>Output 1 — Total Exposure</t>
  </si>
  <si>
    <t>Please let this look like the PD dashbaord we have for he main ECL app</t>
  </si>
  <si>
    <t>Total Exposure by Aging Bucket</t>
  </si>
  <si>
    <t>Row Labels</t>
  </si>
  <si>
    <t>Exposure</t>
  </si>
  <si>
    <t>Sum of Outstanding Amount</t>
  </si>
  <si>
    <t>1-30</t>
  </si>
  <si>
    <t>31-60</t>
  </si>
  <si>
    <t>61-90</t>
  </si>
  <si>
    <t>90+</t>
  </si>
  <si>
    <t>This is the main output of the EAD process</t>
  </si>
  <si>
    <t>Current</t>
  </si>
  <si>
    <t>Sum of Exposure Share</t>
  </si>
  <si>
    <t>Grand Total</t>
  </si>
  <si>
    <t>Concentration Metrics</t>
  </si>
  <si>
    <t>Top 10 customers</t>
  </si>
  <si>
    <t>Invoice size distribution</t>
  </si>
  <si>
    <t>Your analysis can show performing analysis too</t>
  </si>
  <si>
    <t>Meaning that only current and 1 - 30 are perfoming exposure.</t>
  </si>
  <si>
    <t>the rest are non performing</t>
  </si>
  <si>
    <t>A. For Trade Receivables: LGD = Percentage Loss After Default… It is LGD = 1 - Recovery Rate</t>
  </si>
  <si>
    <t>This tells us:
"When a receivable defaults, how much do we actually lose?"</t>
  </si>
  <si>
    <t>Core Dataset — Historical Default Dataset</t>
  </si>
  <si>
    <t>Unique customer</t>
  </si>
  <si>
    <t>INV1023</t>
  </si>
  <si>
    <t>a. Upload LGD data in the data manager module. This data is called Trade Receivables Balances</t>
  </si>
  <si>
    <t>Original Amount</t>
  </si>
  <si>
    <t>Invoice value</t>
  </si>
  <si>
    <t>b. In the LGD module, make sure you show the LGD Engine… both in table and in graph</t>
  </si>
  <si>
    <t>Amount Written Off</t>
  </si>
  <si>
    <t>Loss recognized</t>
  </si>
  <si>
    <t>Default Loss</t>
  </si>
  <si>
    <t>Also in the :GD module, make sure you have the analysis</t>
  </si>
  <si>
    <t>Recovery Amount</t>
  </si>
  <si>
    <t>Amount recovered</t>
  </si>
  <si>
    <t>Recovery</t>
  </si>
  <si>
    <t>Write-off Date</t>
  </si>
  <si>
    <t>Default date</t>
  </si>
  <si>
    <t>Timing</t>
  </si>
  <si>
    <t>Analysis</t>
  </si>
  <si>
    <t>Lagos/Kano etc</t>
  </si>
  <si>
    <t>Flour/Rice</t>
  </si>
  <si>
    <t>Days Past Due at Default</t>
  </si>
  <si>
    <t>DPD</t>
  </si>
  <si>
    <t>Validation</t>
  </si>
  <si>
    <t>Recovery Rate</t>
  </si>
  <si>
    <t>recovery amt / written off amount</t>
  </si>
  <si>
    <t>LGD calc</t>
  </si>
  <si>
    <t>LGD per invoice</t>
  </si>
  <si>
    <t>1 - recovery rate</t>
  </si>
  <si>
    <t>D. With the above information your LGD is ready to go</t>
  </si>
  <si>
    <t>LGD Calculation (Part of Impairment Studio)</t>
  </si>
  <si>
    <t>Historical Default Dataset</t>
  </si>
  <si>
    <t>LGD per Invoice</t>
  </si>
  <si>
    <t>C230193</t>
  </si>
  <si>
    <t>C230193_001</t>
  </si>
  <si>
    <t>C1360359</t>
  </si>
  <si>
    <t>C1360359_001</t>
  </si>
  <si>
    <t>C1463923</t>
  </si>
  <si>
    <t>C1463923_001</t>
  </si>
  <si>
    <t>C2052553</t>
  </si>
  <si>
    <t>C2052553_001</t>
  </si>
  <si>
    <t>C1852993</t>
  </si>
  <si>
    <t>C1852993_001</t>
  </si>
  <si>
    <t>C578939</t>
  </si>
  <si>
    <t>C578939_001</t>
  </si>
  <si>
    <t>C1685162</t>
  </si>
  <si>
    <t>C1685162_001</t>
  </si>
  <si>
    <t>C1677221</t>
  </si>
  <si>
    <t>C1677221_001</t>
  </si>
  <si>
    <t>C818034</t>
  </si>
  <si>
    <t>C818034_001</t>
  </si>
  <si>
    <t>C578517</t>
  </si>
  <si>
    <t>C578517_001</t>
  </si>
  <si>
    <t>C899761</t>
  </si>
  <si>
    <t>C899761_001</t>
  </si>
  <si>
    <t>C2256317</t>
  </si>
  <si>
    <t>C2256317_001</t>
  </si>
  <si>
    <t>C1210045</t>
  </si>
  <si>
    <t>C1210045_001</t>
  </si>
  <si>
    <t>C1299138</t>
  </si>
  <si>
    <t>C1299138_001</t>
  </si>
  <si>
    <t>C1256513</t>
  </si>
  <si>
    <t>C1256513_001</t>
  </si>
  <si>
    <t>C1683362</t>
  </si>
  <si>
    <t>C1683362_001</t>
  </si>
  <si>
    <t>C1120635</t>
  </si>
  <si>
    <t>C1120635_001</t>
  </si>
  <si>
    <t>C2254439</t>
  </si>
  <si>
    <t>C2254439_001</t>
  </si>
  <si>
    <t>C46074</t>
  </si>
  <si>
    <t>C46074_001</t>
  </si>
  <si>
    <t>C776589</t>
  </si>
  <si>
    <t>C776589_001</t>
  </si>
  <si>
    <t>C1246153</t>
  </si>
  <si>
    <t>C1246153_001</t>
  </si>
  <si>
    <t>C2084333</t>
  </si>
  <si>
    <t>C2084333_001</t>
  </si>
  <si>
    <t>C1428000</t>
  </si>
  <si>
    <t>C1428000_001</t>
  </si>
  <si>
    <t>C52528</t>
  </si>
  <si>
    <t>C52528_001</t>
  </si>
  <si>
    <t>C1994205</t>
  </si>
  <si>
    <t>C1994205_001</t>
  </si>
  <si>
    <t>C1347100</t>
  </si>
  <si>
    <t>C1347100_001</t>
  </si>
  <si>
    <t>C756172</t>
  </si>
  <si>
    <t>C756172_001</t>
  </si>
  <si>
    <t>C1165786</t>
  </si>
  <si>
    <t>C1165786_001</t>
  </si>
  <si>
    <t>C1416192</t>
  </si>
  <si>
    <t>C1416192_001</t>
  </si>
  <si>
    <t>C548205</t>
  </si>
  <si>
    <t>C548205_001</t>
  </si>
  <si>
    <t>C1308120</t>
  </si>
  <si>
    <t>C1308120_001</t>
  </si>
  <si>
    <t>C2137633</t>
  </si>
  <si>
    <t>C2137633_001</t>
  </si>
  <si>
    <t>C1017823</t>
  </si>
  <si>
    <t>C1017823_001</t>
  </si>
  <si>
    <t>C1736147</t>
  </si>
  <si>
    <t>C1736147_001</t>
  </si>
  <si>
    <t>C555612</t>
  </si>
  <si>
    <t>C555612_001</t>
  </si>
  <si>
    <t>C915005</t>
  </si>
  <si>
    <t>C915005_001</t>
  </si>
  <si>
    <t>C1344510</t>
  </si>
  <si>
    <t>C1344510_001</t>
  </si>
  <si>
    <t>C1458093</t>
  </si>
  <si>
    <t>C1458093_001</t>
  </si>
  <si>
    <t>C134391</t>
  </si>
  <si>
    <t>C134391_001</t>
  </si>
  <si>
    <t>C238148</t>
  </si>
  <si>
    <t>C238148_001</t>
  </si>
  <si>
    <t>C35756</t>
  </si>
  <si>
    <t>C35756_001</t>
  </si>
  <si>
    <t>C995529</t>
  </si>
  <si>
    <t>C995529_001</t>
  </si>
  <si>
    <t>C417939</t>
  </si>
  <si>
    <t>C417939_001</t>
  </si>
  <si>
    <t>C529640</t>
  </si>
  <si>
    <t>C529640_001</t>
  </si>
  <si>
    <t>C1773052</t>
  </si>
  <si>
    <t>C1773052_001</t>
  </si>
  <si>
    <t>C190101</t>
  </si>
  <si>
    <t>C190101_001</t>
  </si>
  <si>
    <t>C1678539</t>
  </si>
  <si>
    <t>C1678539_001</t>
  </si>
  <si>
    <t>C1432979</t>
  </si>
  <si>
    <t>C1432979_001</t>
  </si>
  <si>
    <t>C865499</t>
  </si>
  <si>
    <t>C865499_001</t>
  </si>
  <si>
    <t>C1765313</t>
  </si>
  <si>
    <t>C1765313_001</t>
  </si>
  <si>
    <t>C575873</t>
  </si>
  <si>
    <t>C575873_001</t>
  </si>
  <si>
    <t>C832384</t>
  </si>
  <si>
    <t>C832384_001</t>
  </si>
  <si>
    <t>C92724</t>
  </si>
  <si>
    <t>C92724_001</t>
  </si>
  <si>
    <t>C323283</t>
  </si>
  <si>
    <t>C323283_001</t>
  </si>
  <si>
    <t>C1263510</t>
  </si>
  <si>
    <t>C1263510_001</t>
  </si>
  <si>
    <t>C2106659</t>
  </si>
  <si>
    <t>C2106659_001</t>
  </si>
  <si>
    <t>C723131</t>
  </si>
  <si>
    <t>C723131_001</t>
  </si>
  <si>
    <t>C702236</t>
  </si>
  <si>
    <t>C702236_001</t>
  </si>
  <si>
    <t>C476933</t>
  </si>
  <si>
    <t>C476933_001</t>
  </si>
  <si>
    <t>C251073</t>
  </si>
  <si>
    <t>C251073_001</t>
  </si>
  <si>
    <t>C2198646</t>
  </si>
  <si>
    <t>C2198646_001</t>
  </si>
  <si>
    <t>C1156889</t>
  </si>
  <si>
    <t>C1156889_001</t>
  </si>
  <si>
    <t>C1312931</t>
  </si>
  <si>
    <t>C1312931_001</t>
  </si>
  <si>
    <t>C982723</t>
  </si>
  <si>
    <t>C982723_001</t>
  </si>
  <si>
    <t>C1593154</t>
  </si>
  <si>
    <t>C1593154_001</t>
  </si>
  <si>
    <t>C1352401</t>
  </si>
  <si>
    <t>C1352401_001</t>
  </si>
  <si>
    <t>C1711892</t>
  </si>
  <si>
    <t>C1711892_001</t>
  </si>
  <si>
    <t>C2254126</t>
  </si>
  <si>
    <t>C2254126_001</t>
  </si>
  <si>
    <t>C1172401</t>
  </si>
  <si>
    <t>C1172401_001</t>
  </si>
  <si>
    <t>C1907601</t>
  </si>
  <si>
    <t>C1907601_001</t>
  </si>
  <si>
    <t>C657526</t>
  </si>
  <si>
    <t>C657526_001</t>
  </si>
  <si>
    <t>C2059701</t>
  </si>
  <si>
    <t>C2059701_001</t>
  </si>
  <si>
    <t>C814710</t>
  </si>
  <si>
    <t>C814710_001</t>
  </si>
  <si>
    <t>C833565</t>
  </si>
  <si>
    <t>C833565_001</t>
  </si>
  <si>
    <t>C1981862</t>
  </si>
  <si>
    <t>C1981862_001</t>
  </si>
  <si>
    <t>C2183946</t>
  </si>
  <si>
    <t>C2183946_001</t>
  </si>
  <si>
    <t>C180579</t>
  </si>
  <si>
    <t>C180579_001</t>
  </si>
  <si>
    <t>C219317</t>
  </si>
  <si>
    <t>C219317_001</t>
  </si>
  <si>
    <t>C1573756</t>
  </si>
  <si>
    <t>C1573756_001</t>
  </si>
  <si>
    <t>C1533487</t>
  </si>
  <si>
    <t>C1533487_001</t>
  </si>
  <si>
    <t>C2304173</t>
  </si>
  <si>
    <t>C2304173_001</t>
  </si>
  <si>
    <t>C2200261</t>
  </si>
  <si>
    <t>C2200261_001</t>
  </si>
  <si>
    <t>C279434</t>
  </si>
  <si>
    <t>C279434_001</t>
  </si>
  <si>
    <t>C1748203</t>
  </si>
  <si>
    <t>C1748203_001</t>
  </si>
  <si>
    <t>C1431136</t>
  </si>
  <si>
    <t>C1431136_001</t>
  </si>
  <si>
    <t>C1799731</t>
  </si>
  <si>
    <t>C1799731_001</t>
  </si>
  <si>
    <t>C581234</t>
  </si>
  <si>
    <t>C581234_001</t>
  </si>
  <si>
    <t>C130761</t>
  </si>
  <si>
    <t>C130761_001</t>
  </si>
  <si>
    <t>C1632135</t>
  </si>
  <si>
    <t>C1632135_001</t>
  </si>
  <si>
    <t>C789269</t>
  </si>
  <si>
    <t>C789269_001</t>
  </si>
  <si>
    <t>C1749619</t>
  </si>
  <si>
    <t>C1749619_001</t>
  </si>
  <si>
    <t>C1850858</t>
  </si>
  <si>
    <t>C1850858_001</t>
  </si>
  <si>
    <t>C133566</t>
  </si>
  <si>
    <t>C133566_001</t>
  </si>
  <si>
    <t>C1495012</t>
  </si>
  <si>
    <t>C1495012_001</t>
  </si>
  <si>
    <t>C2167714</t>
  </si>
  <si>
    <t>C2167714_001</t>
  </si>
  <si>
    <t>C2229470</t>
  </si>
  <si>
    <t>C2229470_001</t>
  </si>
  <si>
    <t>C466047</t>
  </si>
  <si>
    <t>C466047_001</t>
  </si>
  <si>
    <t>C1615081</t>
  </si>
  <si>
    <t>C1615081_001</t>
  </si>
  <si>
    <t>C1781174</t>
  </si>
  <si>
    <t>C1781174_001</t>
  </si>
  <si>
    <t>C519962</t>
  </si>
  <si>
    <t>C519962_001</t>
  </si>
  <si>
    <t>C337820</t>
  </si>
  <si>
    <t>C337820_001</t>
  </si>
  <si>
    <t>C1786938</t>
  </si>
  <si>
    <t>C1786938_001</t>
  </si>
  <si>
    <t>C1134806</t>
  </si>
  <si>
    <t>C1134806_001</t>
  </si>
  <si>
    <t>C1023780</t>
  </si>
  <si>
    <t>C1023780_001</t>
  </si>
  <si>
    <t>C1419432</t>
  </si>
  <si>
    <t>C1419432_001</t>
  </si>
  <si>
    <t>C1147029</t>
  </si>
  <si>
    <t>C1147029_001</t>
  </si>
  <si>
    <t>C451981</t>
  </si>
  <si>
    <t>C451981_001</t>
  </si>
  <si>
    <t>C986128</t>
  </si>
  <si>
    <t>C986128_001</t>
  </si>
  <si>
    <t>C1156229</t>
  </si>
  <si>
    <t>C1156229_001</t>
  </si>
  <si>
    <t>C928911</t>
  </si>
  <si>
    <t>C928911_001</t>
  </si>
  <si>
    <t>C1695891</t>
  </si>
  <si>
    <t>C1695891_001</t>
  </si>
  <si>
    <t>C1145099</t>
  </si>
  <si>
    <t>C1145099_001</t>
  </si>
  <si>
    <t>C1674986</t>
  </si>
  <si>
    <t>C1674986_001</t>
  </si>
  <si>
    <t>C321769</t>
  </si>
  <si>
    <t>C321769_001</t>
  </si>
  <si>
    <t>C137027</t>
  </si>
  <si>
    <t>C137027_001</t>
  </si>
  <si>
    <t>C2033267</t>
  </si>
  <si>
    <t>C2033267_001</t>
  </si>
  <si>
    <t>C1779154</t>
  </si>
  <si>
    <t>C1779154_001</t>
  </si>
  <si>
    <t>C1511057</t>
  </si>
  <si>
    <t>C1511057_001</t>
  </si>
  <si>
    <t>C1254946</t>
  </si>
  <si>
    <t>C1254946_001</t>
  </si>
  <si>
    <t>C771507</t>
  </si>
  <si>
    <t>C771507_001</t>
  </si>
  <si>
    <t>C1332231</t>
  </si>
  <si>
    <t>C1332231_001</t>
  </si>
  <si>
    <t>C1852150</t>
  </si>
  <si>
    <t>C1852150_001</t>
  </si>
  <si>
    <t>C2024913</t>
  </si>
  <si>
    <t>C2024913_001</t>
  </si>
  <si>
    <t>C2131808</t>
  </si>
  <si>
    <t>C2131808_001</t>
  </si>
  <si>
    <t>C553369</t>
  </si>
  <si>
    <t>C553369_001</t>
  </si>
  <si>
    <t>C297204</t>
  </si>
  <si>
    <t>C297204_001</t>
  </si>
  <si>
    <t>C787930</t>
  </si>
  <si>
    <t>C787930_001</t>
  </si>
  <si>
    <t>C1897020</t>
  </si>
  <si>
    <t>C1897020_001</t>
  </si>
  <si>
    <t>C2048135</t>
  </si>
  <si>
    <t>C2048135_001</t>
  </si>
  <si>
    <t>C1251349</t>
  </si>
  <si>
    <t>C1251349_001</t>
  </si>
  <si>
    <t>C610796</t>
  </si>
  <si>
    <t>C610796_001</t>
  </si>
  <si>
    <t>C1903569</t>
  </si>
  <si>
    <t>C1903569_001</t>
  </si>
  <si>
    <t>C1414045</t>
  </si>
  <si>
    <t>C1414045_001</t>
  </si>
  <si>
    <t>C429959</t>
  </si>
  <si>
    <t>C429959_001</t>
  </si>
  <si>
    <t>C204372</t>
  </si>
  <si>
    <t>C204372_001</t>
  </si>
  <si>
    <t>C1948322</t>
  </si>
  <si>
    <t>C1948322_001</t>
  </si>
  <si>
    <t>C2088564</t>
  </si>
  <si>
    <t>C2088564_001</t>
  </si>
  <si>
    <t>C1569576</t>
  </si>
  <si>
    <t>C1569576_001</t>
  </si>
  <si>
    <t>C20405</t>
  </si>
  <si>
    <t>C20405_001</t>
  </si>
  <si>
    <t>C1834551</t>
  </si>
  <si>
    <t>C1834551_001</t>
  </si>
  <si>
    <t>C1174379</t>
  </si>
  <si>
    <t>C1174379_001</t>
  </si>
  <si>
    <t>C695298</t>
  </si>
  <si>
    <t>C695298_001</t>
  </si>
  <si>
    <t>C133367</t>
  </si>
  <si>
    <t>C133367_001</t>
  </si>
  <si>
    <t>C1000899</t>
  </si>
  <si>
    <t>C1000899_001</t>
  </si>
  <si>
    <t>C1113476</t>
  </si>
  <si>
    <t>C1113476_001</t>
  </si>
  <si>
    <t>C222002</t>
  </si>
  <si>
    <t>C222002_001</t>
  </si>
  <si>
    <t>C595684</t>
  </si>
  <si>
    <t>C595684_001</t>
  </si>
  <si>
    <t>C62488</t>
  </si>
  <si>
    <t>C62488_001</t>
  </si>
  <si>
    <t>C1122613</t>
  </si>
  <si>
    <t>C1122613_001</t>
  </si>
  <si>
    <t>C1696460</t>
  </si>
  <si>
    <t>C1696460_001</t>
  </si>
  <si>
    <t>C771026</t>
  </si>
  <si>
    <t>C771026_001</t>
  </si>
  <si>
    <t>C1782061</t>
  </si>
  <si>
    <t>C1782061_001</t>
  </si>
  <si>
    <t>C519083</t>
  </si>
  <si>
    <t>C519083_001</t>
  </si>
  <si>
    <t>C520501</t>
  </si>
  <si>
    <t>C520501_001</t>
  </si>
  <si>
    <t>C1395161</t>
  </si>
  <si>
    <t>C1395161_001</t>
  </si>
  <si>
    <t>C1930035</t>
  </si>
  <si>
    <t>C1930035_001</t>
  </si>
  <si>
    <t>C593941</t>
  </si>
  <si>
    <t>C593941_001</t>
  </si>
  <si>
    <t>C1399849</t>
  </si>
  <si>
    <t>C1399849_001</t>
  </si>
  <si>
    <t>C611311</t>
  </si>
  <si>
    <t>C611311_001</t>
  </si>
  <si>
    <t>C933209</t>
  </si>
  <si>
    <t>C933209_001</t>
  </si>
  <si>
    <t>C1488158</t>
  </si>
  <si>
    <t>C1488158_001</t>
  </si>
  <si>
    <t>C1533007</t>
  </si>
  <si>
    <t>C1533007_001</t>
  </si>
  <si>
    <t>C209516</t>
  </si>
  <si>
    <t>C209516_001</t>
  </si>
  <si>
    <t>C1419773</t>
  </si>
  <si>
    <t>C1419773_001</t>
  </si>
  <si>
    <t>C2319449</t>
  </si>
  <si>
    <t>C2319449_001</t>
  </si>
  <si>
    <t>C2026847</t>
  </si>
  <si>
    <t>C2026847_001</t>
  </si>
  <si>
    <t>C2130588</t>
  </si>
  <si>
    <t>C2130588_001</t>
  </si>
  <si>
    <t>C553075</t>
  </si>
  <si>
    <t>C553075_001</t>
  </si>
  <si>
    <t>C1392152</t>
  </si>
  <si>
    <t>C1392152_001</t>
  </si>
  <si>
    <t>C1242110</t>
  </si>
  <si>
    <t>C1242110_001</t>
  </si>
  <si>
    <t>C797069</t>
  </si>
  <si>
    <t>C797069_001</t>
  </si>
  <si>
    <t>C732428</t>
  </si>
  <si>
    <t>C732428_001</t>
  </si>
  <si>
    <t>C653294</t>
  </si>
  <si>
    <t>C653294_001</t>
  </si>
  <si>
    <t>C514086</t>
  </si>
  <si>
    <t>C514086_001</t>
  </si>
  <si>
    <t>C2106265</t>
  </si>
  <si>
    <t>C2106265_001</t>
  </si>
  <si>
    <t>C783381</t>
  </si>
  <si>
    <t>C783381_001</t>
  </si>
  <si>
    <t>C479643</t>
  </si>
  <si>
    <t>C479643_001</t>
  </si>
  <si>
    <t>C836982</t>
  </si>
  <si>
    <t>C836982_001</t>
  </si>
  <si>
    <t>C1618410</t>
  </si>
  <si>
    <t>C1618410_001</t>
  </si>
  <si>
    <t>C1742839</t>
  </si>
  <si>
    <t>C1742839_001</t>
  </si>
  <si>
    <t>C2061619</t>
  </si>
  <si>
    <t>C2061619_001</t>
  </si>
  <si>
    <t>C1205166</t>
  </si>
  <si>
    <t>C1205166_001</t>
  </si>
  <si>
    <t>C873659</t>
  </si>
  <si>
    <t>C873659_001</t>
  </si>
  <si>
    <t>C286095</t>
  </si>
  <si>
    <t>C286095_001</t>
  </si>
  <si>
    <t>C1709357</t>
  </si>
  <si>
    <t>C1709357_001</t>
  </si>
  <si>
    <t>C175399</t>
  </si>
  <si>
    <t>C175399_001</t>
  </si>
  <si>
    <t>C2141880</t>
  </si>
  <si>
    <t>C2141880_001</t>
  </si>
  <si>
    <t>C1719966</t>
  </si>
  <si>
    <t>C1719966_001</t>
  </si>
  <si>
    <t>C1550358</t>
  </si>
  <si>
    <t>C1550358_001</t>
  </si>
  <si>
    <t>C978143</t>
  </si>
  <si>
    <t>C978143_001</t>
  </si>
  <si>
    <t>C1915613</t>
  </si>
  <si>
    <t>C1915613_001</t>
  </si>
  <si>
    <t>C945842</t>
  </si>
  <si>
    <t>C945842_001</t>
  </si>
  <si>
    <t>C1217479</t>
  </si>
  <si>
    <t>C1217479_001</t>
  </si>
  <si>
    <t>C2151708</t>
  </si>
  <si>
    <t>C2151708_001</t>
  </si>
  <si>
    <t>C412567</t>
  </si>
  <si>
    <t>C412567_001</t>
  </si>
  <si>
    <t>C2150429</t>
  </si>
  <si>
    <t>C2150429_001</t>
  </si>
  <si>
    <t>C2313300</t>
  </si>
  <si>
    <t>C2313300_001</t>
  </si>
  <si>
    <t>C1685841</t>
  </si>
  <si>
    <t>C1685841_001</t>
  </si>
  <si>
    <t>C867511</t>
  </si>
  <si>
    <t>C867511_001</t>
  </si>
  <si>
    <t>C1284955</t>
  </si>
  <si>
    <t>C1284955_001</t>
  </si>
  <si>
    <t>C1922221</t>
  </si>
  <si>
    <t>C1922221_001</t>
  </si>
  <si>
    <t>C2067160</t>
  </si>
  <si>
    <t>C2067160_001</t>
  </si>
  <si>
    <t>C1493314</t>
  </si>
  <si>
    <t>C1493314_001</t>
  </si>
  <si>
    <t>C2024517</t>
  </si>
  <si>
    <t>C2024517_001</t>
  </si>
  <si>
    <t>C1223952</t>
  </si>
  <si>
    <t>C1223952_001</t>
  </si>
  <si>
    <t>C269605</t>
  </si>
  <si>
    <t>C269605_001</t>
  </si>
  <si>
    <t>C1199165</t>
  </si>
  <si>
    <t>C1199165_001</t>
  </si>
  <si>
    <t>C76059</t>
  </si>
  <si>
    <t>C76059_001</t>
  </si>
  <si>
    <t>C839694</t>
  </si>
  <si>
    <t>C839694_001</t>
  </si>
  <si>
    <t>C1245371</t>
  </si>
  <si>
    <t>C1245371_001</t>
  </si>
  <si>
    <t>C586634</t>
  </si>
  <si>
    <t>C586634_001</t>
  </si>
  <si>
    <t>C155662</t>
  </si>
  <si>
    <t>C155662_001</t>
  </si>
  <si>
    <t>C1194554</t>
  </si>
  <si>
    <t>C1194554_001</t>
  </si>
  <si>
    <t>C1492357</t>
  </si>
  <si>
    <t>C1492357_001</t>
  </si>
  <si>
    <t>C88864</t>
  </si>
  <si>
    <t>C88864_001</t>
  </si>
  <si>
    <t>C1198832</t>
  </si>
  <si>
    <t>C1198832_001</t>
  </si>
  <si>
    <t>C2123801</t>
  </si>
  <si>
    <t>C2123801_001</t>
  </si>
  <si>
    <t>C1562818</t>
  </si>
  <si>
    <t>C1562818_001</t>
  </si>
  <si>
    <t>C1459223</t>
  </si>
  <si>
    <t>C1459223_001</t>
  </si>
  <si>
    <t>C677956</t>
  </si>
  <si>
    <t>C677956_001</t>
  </si>
  <si>
    <t>C1808994</t>
  </si>
  <si>
    <t>C1808994_001</t>
  </si>
  <si>
    <t>C956436</t>
  </si>
  <si>
    <t>C956436_001</t>
  </si>
  <si>
    <t>C1391682</t>
  </si>
  <si>
    <t>C1391682_001</t>
  </si>
  <si>
    <t>C2176267</t>
  </si>
  <si>
    <t>C2176267_001</t>
  </si>
  <si>
    <t>C409602</t>
  </si>
  <si>
    <t>C409602_001</t>
  </si>
  <si>
    <t>C1651320</t>
  </si>
  <si>
    <t>C1651320_001</t>
  </si>
  <si>
    <t>C1963545</t>
  </si>
  <si>
    <t>C1963545_001</t>
  </si>
  <si>
    <t>C1037741</t>
  </si>
  <si>
    <t>C1037741_001</t>
  </si>
  <si>
    <t>C1192888</t>
  </si>
  <si>
    <t>C1192888_001</t>
  </si>
  <si>
    <t>C48531</t>
  </si>
  <si>
    <t>C48531_001</t>
  </si>
  <si>
    <t>C929858</t>
  </si>
  <si>
    <t>C929858_001</t>
  </si>
  <si>
    <t>C1622857</t>
  </si>
  <si>
    <t>C1622857_001</t>
  </si>
  <si>
    <t>C1026240</t>
  </si>
  <si>
    <t>C1026240_001</t>
  </si>
  <si>
    <t>C600868</t>
  </si>
  <si>
    <t>C600868_001</t>
  </si>
  <si>
    <t>C1603456</t>
  </si>
  <si>
    <t>C1603456_001</t>
  </si>
  <si>
    <t>C987586</t>
  </si>
  <si>
    <t>C987586_001</t>
  </si>
  <si>
    <t>C624045</t>
  </si>
  <si>
    <t>C624045_001</t>
  </si>
  <si>
    <t>C1095351</t>
  </si>
  <si>
    <t>C1095351_001</t>
  </si>
  <si>
    <t>C502689</t>
  </si>
  <si>
    <t>C502689_001</t>
  </si>
  <si>
    <t>C2170199</t>
  </si>
  <si>
    <t>C2170199_001</t>
  </si>
  <si>
    <t>C647017</t>
  </si>
  <si>
    <t>C647017_001</t>
  </si>
  <si>
    <t>C103575</t>
  </si>
  <si>
    <t>C103575_001</t>
  </si>
  <si>
    <t>C641702</t>
  </si>
  <si>
    <t>C641702_001</t>
  </si>
  <si>
    <t>C581381</t>
  </si>
  <si>
    <t>C581381_001</t>
  </si>
  <si>
    <t>C461305</t>
  </si>
  <si>
    <t>C461305_001</t>
  </si>
  <si>
    <t>C1205297</t>
  </si>
  <si>
    <t>C1205297_001</t>
  </si>
  <si>
    <t>C875546</t>
  </si>
  <si>
    <t>C875546_001</t>
  </si>
  <si>
    <t>C415500</t>
  </si>
  <si>
    <t>C415500_001</t>
  </si>
  <si>
    <t>C2228155</t>
  </si>
  <si>
    <t>C2228155_001</t>
  </si>
  <si>
    <t>C512169</t>
  </si>
  <si>
    <t>C512169_001</t>
  </si>
  <si>
    <t>C414237</t>
  </si>
  <si>
    <t>C414237_001</t>
  </si>
  <si>
    <t>C1940799</t>
  </si>
  <si>
    <t>C1940799_001</t>
  </si>
  <si>
    <t>C775220</t>
  </si>
  <si>
    <t>C775220_001</t>
  </si>
  <si>
    <t>C2309298</t>
  </si>
  <si>
    <t>C2309298_001</t>
  </si>
  <si>
    <t>C225561</t>
  </si>
  <si>
    <t>C225561_001</t>
  </si>
  <si>
    <t>C1947148</t>
  </si>
  <si>
    <t>C1947148_001</t>
  </si>
  <si>
    <t>C1804560</t>
  </si>
  <si>
    <t>C1804560_001</t>
  </si>
  <si>
    <t>C2141380</t>
  </si>
  <si>
    <t>C2141380_001</t>
  </si>
  <si>
    <t>C1381549</t>
  </si>
  <si>
    <t>C1381549_001</t>
  </si>
  <si>
    <t>C1778584</t>
  </si>
  <si>
    <t>C1778584_001</t>
  </si>
  <si>
    <t>C2248171</t>
  </si>
  <si>
    <t>C2248171_001</t>
  </si>
  <si>
    <t>C647891</t>
  </si>
  <si>
    <t>C647891_001</t>
  </si>
  <si>
    <t>C1460377</t>
  </si>
  <si>
    <t>C1460377_001</t>
  </si>
  <si>
    <t>C680307</t>
  </si>
  <si>
    <t>C680307_001</t>
  </si>
  <si>
    <t>C2073297</t>
  </si>
  <si>
    <t>C2073297_001</t>
  </si>
  <si>
    <t>C539723</t>
  </si>
  <si>
    <t>C539723_001</t>
  </si>
  <si>
    <t>C1771710</t>
  </si>
  <si>
    <t>C1771710_001</t>
  </si>
  <si>
    <t>C1032572</t>
  </si>
  <si>
    <t>C1032572_001</t>
  </si>
  <si>
    <t>C2074079</t>
  </si>
  <si>
    <t>C2074079_001</t>
  </si>
  <si>
    <t>C1563781</t>
  </si>
  <si>
    <t>C1563781_001</t>
  </si>
  <si>
    <t>C2314529</t>
  </si>
  <si>
    <t>C2314529_001</t>
  </si>
  <si>
    <t>C2274505</t>
  </si>
  <si>
    <t>C2274505_001</t>
  </si>
  <si>
    <t>C1721759</t>
  </si>
  <si>
    <t>C1721759_001</t>
  </si>
  <si>
    <t>C1689489</t>
  </si>
  <si>
    <t>C1689489_001</t>
  </si>
  <si>
    <t>C1427803</t>
  </si>
  <si>
    <t>C1427803_001</t>
  </si>
  <si>
    <t>C1928464</t>
  </si>
  <si>
    <t>C1928464_001</t>
  </si>
  <si>
    <t>C41116</t>
  </si>
  <si>
    <t>C41116_001</t>
  </si>
  <si>
    <t>C2235154</t>
  </si>
  <si>
    <t>C2235154_001</t>
  </si>
  <si>
    <t>C129280</t>
  </si>
  <si>
    <t>C129280_001</t>
  </si>
  <si>
    <t>C2183429</t>
  </si>
  <si>
    <t>C2183429_001</t>
  </si>
  <si>
    <t>C674235</t>
  </si>
  <si>
    <t>C674235_001</t>
  </si>
  <si>
    <t>C1235071</t>
  </si>
  <si>
    <t>C1235071_001</t>
  </si>
  <si>
    <t>C1945420</t>
  </si>
  <si>
    <t>C1945420_001</t>
  </si>
  <si>
    <t>C2053562</t>
  </si>
  <si>
    <t>C2053562_001</t>
  </si>
  <si>
    <t>C705743</t>
  </si>
  <si>
    <t>C705743_001</t>
  </si>
  <si>
    <t>C292057</t>
  </si>
  <si>
    <t>C292057_001</t>
  </si>
  <si>
    <t>C285362</t>
  </si>
  <si>
    <t>C285362_001</t>
  </si>
  <si>
    <t>C1797127</t>
  </si>
  <si>
    <t>C1797127_001</t>
  </si>
  <si>
    <t>C1354285</t>
  </si>
  <si>
    <t>C1354285_001</t>
  </si>
  <si>
    <t>C342517</t>
  </si>
  <si>
    <t>C342517_001</t>
  </si>
  <si>
    <t>C684372</t>
  </si>
  <si>
    <t>C684372_001</t>
  </si>
  <si>
    <t>C930093</t>
  </si>
  <si>
    <t>C930093_001</t>
  </si>
  <si>
    <t>C1608330</t>
  </si>
  <si>
    <t>C1608330_001</t>
  </si>
  <si>
    <t>C987527</t>
  </si>
  <si>
    <t>C987527_001</t>
  </si>
  <si>
    <t>C258246</t>
  </si>
  <si>
    <t>C258246_001</t>
  </si>
  <si>
    <t>C1427133</t>
  </si>
  <si>
    <t>C1427133_001</t>
  </si>
  <si>
    <t>C296899</t>
  </si>
  <si>
    <t>C296899_001</t>
  </si>
  <si>
    <t>C989173</t>
  </si>
  <si>
    <t>C989173_001</t>
  </si>
  <si>
    <t>C480802</t>
  </si>
  <si>
    <t>C480802_001</t>
  </si>
  <si>
    <t>C2250898</t>
  </si>
  <si>
    <t>C2250898_001</t>
  </si>
  <si>
    <t>C850902</t>
  </si>
  <si>
    <t>C850902_001</t>
  </si>
  <si>
    <t>C1054075</t>
  </si>
  <si>
    <t>C1054075_001</t>
  </si>
  <si>
    <t>C753453</t>
  </si>
  <si>
    <t>C753453_001</t>
  </si>
  <si>
    <t>C774703</t>
  </si>
  <si>
    <t>C774703_001</t>
  </si>
  <si>
    <t>C2060729</t>
  </si>
  <si>
    <t>C2060729_001</t>
  </si>
  <si>
    <t>C1957831</t>
  </si>
  <si>
    <t>C1957831_001</t>
  </si>
  <si>
    <t>C1112456</t>
  </si>
  <si>
    <t>C1112456_001</t>
  </si>
  <si>
    <t>C1392757</t>
  </si>
  <si>
    <t>C1392757_001</t>
  </si>
  <si>
    <t>C129191</t>
  </si>
  <si>
    <t>C129191_001</t>
  </si>
  <si>
    <t>C629481</t>
  </si>
  <si>
    <t>C629481_001</t>
  </si>
  <si>
    <t>C143748</t>
  </si>
  <si>
    <t>C143748_001</t>
  </si>
  <si>
    <t>C1830200</t>
  </si>
  <si>
    <t>C1830200_001</t>
  </si>
  <si>
    <t>C2305640</t>
  </si>
  <si>
    <t>C2305640_001</t>
  </si>
  <si>
    <t>C248884</t>
  </si>
  <si>
    <t>C248884_001</t>
  </si>
  <si>
    <t>C1039270</t>
  </si>
  <si>
    <t>C1039270_001</t>
  </si>
  <si>
    <t>C1737764</t>
  </si>
  <si>
    <t>C1737764_001</t>
  </si>
  <si>
    <t>C1453342</t>
  </si>
  <si>
    <t>C1453342_001</t>
  </si>
  <si>
    <t>C1401499</t>
  </si>
  <si>
    <t>C1401499_001</t>
  </si>
  <si>
    <t>C1059214</t>
  </si>
  <si>
    <t>C1059214_001</t>
  </si>
  <si>
    <t>C1620383</t>
  </si>
  <si>
    <t>C1620383_001</t>
  </si>
  <si>
    <t>C705660</t>
  </si>
  <si>
    <t>C705660_001</t>
  </si>
  <si>
    <t>C1143229</t>
  </si>
  <si>
    <t>C1143229_001</t>
  </si>
  <si>
    <t>C701337</t>
  </si>
  <si>
    <t>C701337_001</t>
  </si>
  <si>
    <t>C56706</t>
  </si>
  <si>
    <t>C56706_001</t>
  </si>
  <si>
    <t>C1311433</t>
  </si>
  <si>
    <t>C1311433_001</t>
  </si>
  <si>
    <t>C1274817</t>
  </si>
  <si>
    <t>C1274817_001</t>
  </si>
  <si>
    <t>C2270444</t>
  </si>
  <si>
    <t>C2270444_001</t>
  </si>
  <si>
    <t>C985517</t>
  </si>
  <si>
    <t>C985517_001</t>
  </si>
  <si>
    <t>C341640</t>
  </si>
  <si>
    <t>C341640_001</t>
  </si>
  <si>
    <t>C532905</t>
  </si>
  <si>
    <t>C532905_001</t>
  </si>
  <si>
    <t>C1302631</t>
  </si>
  <si>
    <t>C1302631_001</t>
  </si>
  <si>
    <t>C2218315</t>
  </si>
  <si>
    <t>C2218315_001</t>
  </si>
  <si>
    <t>C1022399</t>
  </si>
  <si>
    <t>C1022399_001</t>
  </si>
  <si>
    <t>C1708787</t>
  </si>
  <si>
    <t>C1708787_001</t>
  </si>
  <si>
    <t>C284237</t>
  </si>
  <si>
    <t>C284237_001</t>
  </si>
  <si>
    <t>C23785</t>
  </si>
  <si>
    <t>C23785_001</t>
  </si>
  <si>
    <t>C2190552</t>
  </si>
  <si>
    <t>C2190552_001</t>
  </si>
  <si>
    <t>C21794</t>
  </si>
  <si>
    <t>C21794_001</t>
  </si>
  <si>
    <t>C498017</t>
  </si>
  <si>
    <t>C498017_001</t>
  </si>
  <si>
    <t>C846143</t>
  </si>
  <si>
    <t>C846143_001</t>
  </si>
  <si>
    <t>C716600</t>
  </si>
  <si>
    <t>C716600_001</t>
  </si>
  <si>
    <t>C1635350</t>
  </si>
  <si>
    <t>C1635350_001</t>
  </si>
  <si>
    <t>C2073380</t>
  </si>
  <si>
    <t>C2073380_001</t>
  </si>
  <si>
    <t>C1672570</t>
  </si>
  <si>
    <t>C1672570_001</t>
  </si>
  <si>
    <t>C896807</t>
  </si>
  <si>
    <t>C896807_001</t>
  </si>
  <si>
    <t>C175285</t>
  </si>
  <si>
    <t>C175285_001</t>
  </si>
  <si>
    <t>C1750861</t>
  </si>
  <si>
    <t>C1750861_001</t>
  </si>
  <si>
    <t>C531810</t>
  </si>
  <si>
    <t>C531810_001</t>
  </si>
  <si>
    <t>C1204392</t>
  </si>
  <si>
    <t>C1204392_001</t>
  </si>
  <si>
    <t>C538496</t>
  </si>
  <si>
    <t>C538496_001</t>
  </si>
  <si>
    <t>C2002407</t>
  </si>
  <si>
    <t>C2002407_001</t>
  </si>
  <si>
    <t>C297866</t>
  </si>
  <si>
    <t>C297866_001</t>
  </si>
  <si>
    <t>C44687</t>
  </si>
  <si>
    <t>C44687_001</t>
  </si>
  <si>
    <t>C1756545</t>
  </si>
  <si>
    <t>C1756545_001</t>
  </si>
  <si>
    <t>C1355178</t>
  </si>
  <si>
    <t>C1355178_001</t>
  </si>
  <si>
    <t>C2143012</t>
  </si>
  <si>
    <t>C2143012_001</t>
  </si>
  <si>
    <t>C1957087</t>
  </si>
  <si>
    <t>C1957087_001</t>
  </si>
  <si>
    <t>C790665</t>
  </si>
  <si>
    <t>C790665_001</t>
  </si>
  <si>
    <t>C2115933</t>
  </si>
  <si>
    <t>C2115933_001</t>
  </si>
  <si>
    <t>C2056327</t>
  </si>
  <si>
    <t>C2056327_001</t>
  </si>
  <si>
    <t>C2240078</t>
  </si>
  <si>
    <t>C2240078_001</t>
  </si>
  <si>
    <t>C680994</t>
  </si>
  <si>
    <t>C680994_001</t>
  </si>
  <si>
    <t>C170803</t>
  </si>
  <si>
    <t>C170803_001</t>
  </si>
  <si>
    <t>C2155839</t>
  </si>
  <si>
    <t>C2155839_001</t>
  </si>
  <si>
    <t>C963613</t>
  </si>
  <si>
    <t>C963613_001</t>
  </si>
  <si>
    <t>C2282679</t>
  </si>
  <si>
    <t>C2282679_001</t>
  </si>
  <si>
    <t>C1381624</t>
  </si>
  <si>
    <t>C1381624_001</t>
  </si>
  <si>
    <t>C2322343</t>
  </si>
  <si>
    <t>C2322343_001</t>
  </si>
  <si>
    <t>C1568021</t>
  </si>
  <si>
    <t>C1568021_001</t>
  </si>
  <si>
    <t>C1736087</t>
  </si>
  <si>
    <t>C1736087_001</t>
  </si>
  <si>
    <t>C753615</t>
  </si>
  <si>
    <t>C753615_001</t>
  </si>
  <si>
    <t>C1309495</t>
  </si>
  <si>
    <t>C1309495_001</t>
  </si>
  <si>
    <t>C110283</t>
  </si>
  <si>
    <t>C110283_001</t>
  </si>
  <si>
    <t>C1085089</t>
  </si>
  <si>
    <t>C1085089_001</t>
  </si>
  <si>
    <t>C588079</t>
  </si>
  <si>
    <t>C588079_001</t>
  </si>
  <si>
    <t>C913043</t>
  </si>
  <si>
    <t>C913043_001</t>
  </si>
  <si>
    <t>C785932</t>
  </si>
  <si>
    <t>C785932_001</t>
  </si>
  <si>
    <t>C1255229</t>
  </si>
  <si>
    <t>C1255229_001</t>
  </si>
  <si>
    <t>C1551364</t>
  </si>
  <si>
    <t>C1551364_001</t>
  </si>
  <si>
    <t>C37383</t>
  </si>
  <si>
    <t>C37383_001</t>
  </si>
  <si>
    <t>C549703</t>
  </si>
  <si>
    <t>C549703_001</t>
  </si>
  <si>
    <t>C1333438</t>
  </si>
  <si>
    <t>C1333438_001</t>
  </si>
  <si>
    <t>C1966956</t>
  </si>
  <si>
    <t>C1966956_001</t>
  </si>
  <si>
    <t>C170712</t>
  </si>
  <si>
    <t>C170712_001</t>
  </si>
  <si>
    <t>C862168</t>
  </si>
  <si>
    <t>C862168_001</t>
  </si>
  <si>
    <t>C1648572</t>
  </si>
  <si>
    <t>C1648572_001</t>
  </si>
  <si>
    <t>C151259</t>
  </si>
  <si>
    <t>C151259_001</t>
  </si>
  <si>
    <t>C2064522</t>
  </si>
  <si>
    <t>C2064522_001</t>
  </si>
  <si>
    <t>C1427144</t>
  </si>
  <si>
    <t>C1427144_001</t>
  </si>
  <si>
    <t>C1300584</t>
  </si>
  <si>
    <t>C1300584_001</t>
  </si>
  <si>
    <t>C2021201</t>
  </si>
  <si>
    <t>C2021201_001</t>
  </si>
  <si>
    <t>C1648200</t>
  </si>
  <si>
    <t>C1648200_001</t>
  </si>
  <si>
    <t>C1122006</t>
  </si>
  <si>
    <t>C1122006_001</t>
  </si>
  <si>
    <t>C1948911</t>
  </si>
  <si>
    <t>C1948911_001</t>
  </si>
  <si>
    <t>C1896028</t>
  </si>
  <si>
    <t>C1896028_001</t>
  </si>
  <si>
    <t>C1467516</t>
  </si>
  <si>
    <t>C1467516_001</t>
  </si>
  <si>
    <t>C1803954</t>
  </si>
  <si>
    <t>C1803954_001</t>
  </si>
  <si>
    <t>C383368</t>
  </si>
  <si>
    <t>C383368_001</t>
  </si>
  <si>
    <t>C195120</t>
  </si>
  <si>
    <t>C195120_001</t>
  </si>
  <si>
    <t>C138019</t>
  </si>
  <si>
    <t>C138019_001</t>
  </si>
  <si>
    <t>C634581</t>
  </si>
  <si>
    <t>C634581_001</t>
  </si>
  <si>
    <t>C562414</t>
  </si>
  <si>
    <t>C562414_001</t>
  </si>
  <si>
    <t>C512854</t>
  </si>
  <si>
    <t>C512854_001</t>
  </si>
  <si>
    <t>C816013</t>
  </si>
  <si>
    <t>C816013_001</t>
  </si>
  <si>
    <t>C1374128</t>
  </si>
  <si>
    <t>C1374128_001</t>
  </si>
  <si>
    <t>C822822</t>
  </si>
  <si>
    <t>C822822_001</t>
  </si>
  <si>
    <t>C644956</t>
  </si>
  <si>
    <t>C644956_001</t>
  </si>
  <si>
    <t>C876767</t>
  </si>
  <si>
    <t>C876767_001</t>
  </si>
  <si>
    <t>C2213170</t>
  </si>
  <si>
    <t>C2213170_001</t>
  </si>
  <si>
    <t>C2306728</t>
  </si>
  <si>
    <t>C2306728_001</t>
  </si>
  <si>
    <t>C176890</t>
  </si>
  <si>
    <t>C176890_001</t>
  </si>
  <si>
    <t>C2014866</t>
  </si>
  <si>
    <t>C2014866_001</t>
  </si>
  <si>
    <t>C2038375</t>
  </si>
  <si>
    <t>C2038375_001</t>
  </si>
  <si>
    <t>C1476987</t>
  </si>
  <si>
    <t>C1476987_001</t>
  </si>
  <si>
    <t>C2122506</t>
  </si>
  <si>
    <t>C2122506_001</t>
  </si>
  <si>
    <t>C367358</t>
  </si>
  <si>
    <t>C367358_001</t>
  </si>
  <si>
    <t>C1765721</t>
  </si>
  <si>
    <t>C1765721_001</t>
  </si>
  <si>
    <t>C647939</t>
  </si>
  <si>
    <t>C647939_001</t>
  </si>
  <si>
    <t>C866414</t>
  </si>
  <si>
    <t>C866414_001</t>
  </si>
  <si>
    <t>C1972002</t>
  </si>
  <si>
    <t>C1972002_001</t>
  </si>
  <si>
    <t>C458512</t>
  </si>
  <si>
    <t>C458512_001</t>
  </si>
  <si>
    <t>C2084881</t>
  </si>
  <si>
    <t>C2084881_001</t>
  </si>
  <si>
    <t>C485609</t>
  </si>
  <si>
    <t>C485609_001</t>
  </si>
  <si>
    <t>C2157039</t>
  </si>
  <si>
    <t>C2157039_001</t>
  </si>
  <si>
    <t>C1879935</t>
  </si>
  <si>
    <t>C1879935_001</t>
  </si>
  <si>
    <t>C2260631</t>
  </si>
  <si>
    <t>C2260631_001</t>
  </si>
  <si>
    <t>C462968</t>
  </si>
  <si>
    <t>C462968_001</t>
  </si>
  <si>
    <t>C1849107</t>
  </si>
  <si>
    <t>C1849107_001</t>
  </si>
  <si>
    <t>C1138328</t>
  </si>
  <si>
    <t>C1138328_001</t>
  </si>
  <si>
    <t>C218490</t>
  </si>
  <si>
    <t>C218490_001</t>
  </si>
  <si>
    <t>C1261035</t>
  </si>
  <si>
    <t>C1261035_001</t>
  </si>
  <si>
    <t>C1946530</t>
  </si>
  <si>
    <t>C1946530_001</t>
  </si>
  <si>
    <t>Analysis 1 — Overall LGD (Main Output)</t>
  </si>
  <si>
    <t>Analysis 2 — LGD by Aging Bucket (Advanced)</t>
  </si>
  <si>
    <t>Analysis 3 - Show LGD by segment, product</t>
  </si>
  <si>
    <t>Analysis 4 — Recovery Distribution</t>
  </si>
  <si>
    <t>LGD</t>
  </si>
  <si>
    <t>Graph 1 — Recovery vs Write-off Scatter</t>
  </si>
  <si>
    <t>Graph 2 — LGD Histogram</t>
  </si>
  <si>
    <t>Graph 3 — Average LGD Bar Chart</t>
  </si>
  <si>
    <t>Single bar:</t>
  </si>
  <si>
    <t>LGD %</t>
  </si>
  <si>
    <t>Simple executive view.</t>
  </si>
  <si>
    <t>Probability of Default Calculation (Part of Impairment Studio)</t>
  </si>
  <si>
    <t>PD here is Lifetime PD = Historical Defaults / Historical Exposure</t>
  </si>
  <si>
    <t>B. Information Requirements for pd</t>
  </si>
  <si>
    <t>Dataset 1 — Historical Defaults (Numerator)</t>
  </si>
  <si>
    <t>Contains invoices that defaulted.</t>
  </si>
  <si>
    <t>Customer identifier</t>
  </si>
  <si>
    <t>Default value</t>
  </si>
  <si>
    <t>Loss</t>
  </si>
  <si>
    <t>Default measurement</t>
  </si>
  <si>
    <t>Aging classification</t>
  </si>
  <si>
    <t>Bucket at default</t>
  </si>
  <si>
    <t>PD calculation</t>
  </si>
  <si>
    <t>Geography</t>
  </si>
  <si>
    <t>Dataset 2 — Historical Exposure (Denominator)</t>
  </si>
  <si>
    <t>Reporting Date</t>
  </si>
  <si>
    <t>Month/Year</t>
  </si>
  <si>
    <t>Time series</t>
  </si>
  <si>
    <t>Denominator</t>
  </si>
  <si>
    <t>1–30</t>
  </si>
  <si>
    <t>31–60</t>
  </si>
  <si>
    <t>61–90</t>
  </si>
  <si>
    <t>Invoice</t>
  </si>
  <si>
    <t>INV10111</t>
  </si>
  <si>
    <t>INV1011198</t>
  </si>
  <si>
    <t>INV2012285</t>
  </si>
  <si>
    <t>INV3013372</t>
  </si>
  <si>
    <t>INV4014459</t>
  </si>
  <si>
    <t>INV5015546</t>
  </si>
  <si>
    <t>INV6016633</t>
  </si>
  <si>
    <t>INV7017720</t>
  </si>
  <si>
    <t>INV8018807</t>
  </si>
  <si>
    <t>INV9019894</t>
  </si>
  <si>
    <t>INV10020981</t>
  </si>
  <si>
    <t>INV11022068</t>
  </si>
  <si>
    <t>INV12023155</t>
  </si>
  <si>
    <t>INV13024242</t>
  </si>
  <si>
    <t>INV14025329</t>
  </si>
  <si>
    <t>INV15026416</t>
  </si>
  <si>
    <t>INV16027503</t>
  </si>
  <si>
    <t>INV17028590</t>
  </si>
  <si>
    <t>INV18029677</t>
  </si>
  <si>
    <t>INV19030764</t>
  </si>
  <si>
    <t>INV20031851</t>
  </si>
  <si>
    <t>INV21032938</t>
  </si>
  <si>
    <t>INV22034025</t>
  </si>
  <si>
    <t>INV23035112</t>
  </si>
  <si>
    <t>INV24036199</t>
  </si>
  <si>
    <t>INV25037286</t>
  </si>
  <si>
    <t>INV26038373</t>
  </si>
  <si>
    <t>INV27039460</t>
  </si>
  <si>
    <t>INV28040547</t>
  </si>
  <si>
    <t>INV29041634</t>
  </si>
  <si>
    <t>INV30042721</t>
  </si>
  <si>
    <t>INV31043808</t>
  </si>
  <si>
    <t>INV32044895</t>
  </si>
  <si>
    <t>INV33045982</t>
  </si>
  <si>
    <t>INV34047069</t>
  </si>
  <si>
    <t>INV35048156</t>
  </si>
  <si>
    <t>INV36049243</t>
  </si>
  <si>
    <t>INV37050330</t>
  </si>
  <si>
    <t>INV38051417</t>
  </si>
  <si>
    <t>INV39052504</t>
  </si>
  <si>
    <t>INV40053591</t>
  </si>
  <si>
    <t>INV41054678</t>
  </si>
  <si>
    <t>INV42055765</t>
  </si>
  <si>
    <t>INV43056852</t>
  </si>
  <si>
    <t>INV44057939</t>
  </si>
  <si>
    <t>INV45059026</t>
  </si>
  <si>
    <t>INV46060113</t>
  </si>
  <si>
    <t>INV47061200</t>
  </si>
  <si>
    <t>INV48062287</t>
  </si>
  <si>
    <t>INV49063374</t>
  </si>
  <si>
    <t>INV50064461</t>
  </si>
  <si>
    <t>INV51065548</t>
  </si>
  <si>
    <t>INV52066635</t>
  </si>
  <si>
    <t>INV53067722</t>
  </si>
  <si>
    <t>INV54068809</t>
  </si>
  <si>
    <t>INV55069896</t>
  </si>
  <si>
    <t>INV56070983</t>
  </si>
  <si>
    <t>INV57072070</t>
  </si>
  <si>
    <t>INV58073157</t>
  </si>
  <si>
    <t>INV59074244</t>
  </si>
  <si>
    <t>INV60075331</t>
  </si>
  <si>
    <t>INV61076418</t>
  </si>
  <si>
    <t>INV62077505</t>
  </si>
  <si>
    <t>INV63078592</t>
  </si>
  <si>
    <t>INV64079679</t>
  </si>
  <si>
    <t>INV65080766</t>
  </si>
  <si>
    <t>INV66081853</t>
  </si>
  <si>
    <t>INV67082940</t>
  </si>
  <si>
    <t>INV68084027</t>
  </si>
  <si>
    <t>INV69085114</t>
  </si>
  <si>
    <t>INV70086201</t>
  </si>
  <si>
    <t>INV71087288</t>
  </si>
  <si>
    <t>INV72088375</t>
  </si>
  <si>
    <t>INV73089462</t>
  </si>
  <si>
    <t>INV74090549</t>
  </si>
  <si>
    <t>INV75091636</t>
  </si>
  <si>
    <t>INV76092723</t>
  </si>
  <si>
    <t>INV77093810</t>
  </si>
  <si>
    <t>INV78094897</t>
  </si>
  <si>
    <t>INV79095984</t>
  </si>
  <si>
    <t>INV80097071</t>
  </si>
  <si>
    <t>INV81098158</t>
  </si>
  <si>
    <t>INV82099245</t>
  </si>
  <si>
    <t>INV83100332</t>
  </si>
  <si>
    <t>INV84101419</t>
  </si>
  <si>
    <t>INV85102506</t>
  </si>
  <si>
    <t>INV86103593</t>
  </si>
  <si>
    <t>INV87104680</t>
  </si>
  <si>
    <t>INV88105767</t>
  </si>
  <si>
    <t>INV89106854</t>
  </si>
  <si>
    <t>INV90107941</t>
  </si>
  <si>
    <t>INV91109028</t>
  </si>
  <si>
    <t>INV92110115</t>
  </si>
  <si>
    <t>INV93111202</t>
  </si>
  <si>
    <t>INV94112289</t>
  </si>
  <si>
    <t>INV95113376</t>
  </si>
  <si>
    <t>INV96114463</t>
  </si>
  <si>
    <t>INV97115550</t>
  </si>
  <si>
    <t>INV98116637</t>
  </si>
  <si>
    <t>INV99117724</t>
  </si>
  <si>
    <t>INV100118811</t>
  </si>
  <si>
    <t>INV101119898</t>
  </si>
  <si>
    <t>INV102120985</t>
  </si>
  <si>
    <t>INV103122072</t>
  </si>
  <si>
    <t>INV104123159</t>
  </si>
  <si>
    <t>INV105124246</t>
  </si>
  <si>
    <t>INV106125333</t>
  </si>
  <si>
    <t>INV107126420</t>
  </si>
  <si>
    <t>INV108127507</t>
  </si>
  <si>
    <t>INV109128594</t>
  </si>
  <si>
    <t>INV110129681</t>
  </si>
  <si>
    <t>INV111130768</t>
  </si>
  <si>
    <t>INV112131855</t>
  </si>
  <si>
    <t>INV113132942</t>
  </si>
  <si>
    <t>INV114134029</t>
  </si>
  <si>
    <t>INV115135116</t>
  </si>
  <si>
    <t>INV116136203</t>
  </si>
  <si>
    <t>INV117137290</t>
  </si>
  <si>
    <t>INV118138377</t>
  </si>
  <si>
    <t>INV119139464</t>
  </si>
  <si>
    <t>INV120140551</t>
  </si>
  <si>
    <t>INV121141638</t>
  </si>
  <si>
    <t>INV122142725</t>
  </si>
  <si>
    <t>INV123143812</t>
  </si>
  <si>
    <t>INV124144899</t>
  </si>
  <si>
    <t>INV125145986</t>
  </si>
  <si>
    <t>INV126147073</t>
  </si>
  <si>
    <t>INV127148160</t>
  </si>
  <si>
    <t>INV128149247</t>
  </si>
  <si>
    <t>INV129150334</t>
  </si>
  <si>
    <t>INV130151421</t>
  </si>
  <si>
    <t>INV131152508</t>
  </si>
  <si>
    <t>INV132153595</t>
  </si>
  <si>
    <t>INV133154682</t>
  </si>
  <si>
    <t>INV134155769</t>
  </si>
  <si>
    <t>INV135156856</t>
  </si>
  <si>
    <t>INV136157943</t>
  </si>
  <si>
    <t>INV137159030</t>
  </si>
  <si>
    <t>INV138160117</t>
  </si>
  <si>
    <t>INV139161204</t>
  </si>
  <si>
    <t>INV140162291</t>
  </si>
  <si>
    <t>INV141163378</t>
  </si>
  <si>
    <t>INV142164465</t>
  </si>
  <si>
    <t>INV143165552</t>
  </si>
  <si>
    <t>INV144166639</t>
  </si>
  <si>
    <t>INV145167726</t>
  </si>
  <si>
    <t>INV146168813</t>
  </si>
  <si>
    <t>INV147169900</t>
  </si>
  <si>
    <t>INV148170987</t>
  </si>
  <si>
    <t>INV149172074</t>
  </si>
  <si>
    <t>INV150173161</t>
  </si>
  <si>
    <t>INV151174248</t>
  </si>
  <si>
    <t>INV152175335</t>
  </si>
  <si>
    <t>INV153176422</t>
  </si>
  <si>
    <t>INV154177509</t>
  </si>
  <si>
    <t>INV155178596</t>
  </si>
  <si>
    <t>INV156179683</t>
  </si>
  <si>
    <t>INV157180770</t>
  </si>
  <si>
    <t>INV158181857</t>
  </si>
  <si>
    <t>INV159182944</t>
  </si>
  <si>
    <t>INV160184031</t>
  </si>
  <si>
    <t>INV161185118</t>
  </si>
  <si>
    <t>INV162186205</t>
  </si>
  <si>
    <t>INV163187292</t>
  </si>
  <si>
    <t>INV164188379</t>
  </si>
  <si>
    <t>INV165189466</t>
  </si>
  <si>
    <t>INV166190553</t>
  </si>
  <si>
    <t>INV167191640</t>
  </si>
  <si>
    <t>INV168192727</t>
  </si>
  <si>
    <t>INV169193814</t>
  </si>
  <si>
    <t>INV170194901</t>
  </si>
  <si>
    <t>INV171195988</t>
  </si>
  <si>
    <t>INV172197075</t>
  </si>
  <si>
    <t>INV173198162</t>
  </si>
  <si>
    <t>INV174199249</t>
  </si>
  <si>
    <t>INV175200336</t>
  </si>
  <si>
    <t>INV176201423</t>
  </si>
  <si>
    <t>INV177202510</t>
  </si>
  <si>
    <t>INV178203597</t>
  </si>
  <si>
    <t>INV179204684</t>
  </si>
  <si>
    <t>INV180205771</t>
  </si>
  <si>
    <t>INV181206858</t>
  </si>
  <si>
    <t>INV182207945</t>
  </si>
  <si>
    <t>INV183209032</t>
  </si>
  <si>
    <t>INV184210119</t>
  </si>
  <si>
    <t>INV185211206</t>
  </si>
  <si>
    <t>INV186212293</t>
  </si>
  <si>
    <t>INV187213380</t>
  </si>
  <si>
    <t>INV188214467</t>
  </si>
  <si>
    <t>INV189215554</t>
  </si>
  <si>
    <t>INV190216641</t>
  </si>
  <si>
    <t>INV191217728</t>
  </si>
  <si>
    <t>INV192218815</t>
  </si>
  <si>
    <t>INV193219902</t>
  </si>
  <si>
    <t>INV194220989</t>
  </si>
  <si>
    <t>INV195222076</t>
  </si>
  <si>
    <t>INV196223163</t>
  </si>
  <si>
    <t>INV197224250</t>
  </si>
  <si>
    <t>INV198225337</t>
  </si>
  <si>
    <t>INV199226424</t>
  </si>
  <si>
    <t>INV200227511</t>
  </si>
  <si>
    <t>INV201228598</t>
  </si>
  <si>
    <t>INV202229685</t>
  </si>
  <si>
    <t>INV203230772</t>
  </si>
  <si>
    <t>INV204231859</t>
  </si>
  <si>
    <t>INV205232946</t>
  </si>
  <si>
    <t>INV206234033</t>
  </si>
  <si>
    <t>INV207235120</t>
  </si>
  <si>
    <t>INV208236207</t>
  </si>
  <si>
    <t>INV209237294</t>
  </si>
  <si>
    <t>INV210238381</t>
  </si>
  <si>
    <t>INV211239468</t>
  </si>
  <si>
    <t>INV212240555</t>
  </si>
  <si>
    <t>INV213241642</t>
  </si>
  <si>
    <t>INV214242729</t>
  </si>
  <si>
    <t>INV215243816</t>
  </si>
  <si>
    <t>INV216244903</t>
  </si>
  <si>
    <t>INV217245990</t>
  </si>
  <si>
    <t>INV218247077</t>
  </si>
  <si>
    <t>INV219248164</t>
  </si>
  <si>
    <t>INV220249251</t>
  </si>
  <si>
    <t>INV221250338</t>
  </si>
  <si>
    <t>INV222251425</t>
  </si>
  <si>
    <t>INV223252512</t>
  </si>
  <si>
    <t>INV224253599</t>
  </si>
  <si>
    <t>INV225254686</t>
  </si>
  <si>
    <t>INV226255773</t>
  </si>
  <si>
    <t>INV227256860</t>
  </si>
  <si>
    <t>INV228257947</t>
  </si>
  <si>
    <t>INV229259034</t>
  </si>
  <si>
    <t>INV230260121</t>
  </si>
  <si>
    <t>INV231261208</t>
  </si>
  <si>
    <t>INV232262295</t>
  </si>
  <si>
    <t>INV233263382</t>
  </si>
  <si>
    <t>INV234264469</t>
  </si>
  <si>
    <t>INV235265556</t>
  </si>
  <si>
    <t>INV236266643</t>
  </si>
  <si>
    <t>INV237267730</t>
  </si>
  <si>
    <t>INV238268817</t>
  </si>
  <si>
    <t>INV239269904</t>
  </si>
  <si>
    <t>INV240270991</t>
  </si>
  <si>
    <t>INV241272078</t>
  </si>
  <si>
    <t>INV242273165</t>
  </si>
  <si>
    <t>INV243274252</t>
  </si>
  <si>
    <t>INV244275339</t>
  </si>
  <si>
    <t>INV245276426</t>
  </si>
  <si>
    <t>INV246277513</t>
  </si>
  <si>
    <t>INV247278600</t>
  </si>
  <si>
    <t>INV248279687</t>
  </si>
  <si>
    <t>INV249280774</t>
  </si>
  <si>
    <t>INV250281861</t>
  </si>
  <si>
    <t>INV251282948</t>
  </si>
  <si>
    <t>INV252284035</t>
  </si>
  <si>
    <t>INV253285122</t>
  </si>
  <si>
    <t>INV254286209</t>
  </si>
  <si>
    <t>INV255287296</t>
  </si>
  <si>
    <t>INV256288383</t>
  </si>
  <si>
    <t>INV257289470</t>
  </si>
  <si>
    <t>INV258290557</t>
  </si>
  <si>
    <t>INV259291644</t>
  </si>
  <si>
    <t>INV260292731</t>
  </si>
  <si>
    <t>INV261293818</t>
  </si>
  <si>
    <t>INV262294905</t>
  </si>
  <si>
    <t>INV263295992</t>
  </si>
  <si>
    <t>INV264297079</t>
  </si>
  <si>
    <t>INV265298166</t>
  </si>
  <si>
    <t>INV266299253</t>
  </si>
  <si>
    <t>INV267300340</t>
  </si>
  <si>
    <t>INV268301427</t>
  </si>
  <si>
    <t>INV269302514</t>
  </si>
  <si>
    <t>INV270303601</t>
  </si>
  <si>
    <t>INV271304688</t>
  </si>
  <si>
    <t>INV272305775</t>
  </si>
  <si>
    <t>INV273306862</t>
  </si>
  <si>
    <t>INV274307949</t>
  </si>
  <si>
    <t>INV275309036</t>
  </si>
  <si>
    <t>INV276310123</t>
  </si>
  <si>
    <t>INV277311210</t>
  </si>
  <si>
    <t>INV278312297</t>
  </si>
  <si>
    <t>INV279313384</t>
  </si>
  <si>
    <t>INV280314471</t>
  </si>
  <si>
    <t>INV281315558</t>
  </si>
  <si>
    <t>INV282316645</t>
  </si>
  <si>
    <t>INV283317732</t>
  </si>
  <si>
    <t>INV284318819</t>
  </si>
  <si>
    <t>INV285319906</t>
  </si>
  <si>
    <t>INV286320993</t>
  </si>
  <si>
    <t>INV287322080</t>
  </si>
  <si>
    <t>INV288323167</t>
  </si>
  <si>
    <t>INV289324254</t>
  </si>
  <si>
    <t>INV290325341</t>
  </si>
  <si>
    <t>INV291326428</t>
  </si>
  <si>
    <t>INV292327515</t>
  </si>
  <si>
    <t>INV293328602</t>
  </si>
  <si>
    <t>INV294329689</t>
  </si>
  <si>
    <t>INV295330776</t>
  </si>
  <si>
    <t>INV296331863</t>
  </si>
  <si>
    <t>INV297332950</t>
  </si>
  <si>
    <t>INV298334037</t>
  </si>
  <si>
    <t>INV299335124</t>
  </si>
  <si>
    <t>INV300336211</t>
  </si>
  <si>
    <t>INV301337298</t>
  </si>
  <si>
    <t>INV302338385</t>
  </si>
  <si>
    <t>INV303339472</t>
  </si>
  <si>
    <t>INV304340559</t>
  </si>
  <si>
    <t>INV305341646</t>
  </si>
  <si>
    <t>INV306342733</t>
  </si>
  <si>
    <t>INV307343820</t>
  </si>
  <si>
    <t>INV308344907</t>
  </si>
  <si>
    <t>INV309345994</t>
  </si>
  <si>
    <t>INV310347081</t>
  </si>
  <si>
    <t>INV311348168</t>
  </si>
  <si>
    <t>INV312349255</t>
  </si>
  <si>
    <t>INV313350342</t>
  </si>
  <si>
    <t>INV314351429</t>
  </si>
  <si>
    <t>INV315352516</t>
  </si>
  <si>
    <t>INV316353603</t>
  </si>
  <si>
    <t>INV317354690</t>
  </si>
  <si>
    <t>INV318355777</t>
  </si>
  <si>
    <t>INV319356864</t>
  </si>
  <si>
    <t>INV320357951</t>
  </si>
  <si>
    <t>INV321359038</t>
  </si>
  <si>
    <t>INV322360125</t>
  </si>
  <si>
    <t>INV323361212</t>
  </si>
  <si>
    <t>INV324362299</t>
  </si>
  <si>
    <t>INV325363386</t>
  </si>
  <si>
    <t>INV326364473</t>
  </si>
  <si>
    <t>INV327365560</t>
  </si>
  <si>
    <t>INV328366647</t>
  </si>
  <si>
    <t>INV329367734</t>
  </si>
  <si>
    <t>INV330368821</t>
  </si>
  <si>
    <t>INV331369908</t>
  </si>
  <si>
    <t>INV332370995</t>
  </si>
  <si>
    <t>INV333372082</t>
  </si>
  <si>
    <t>INV334373169</t>
  </si>
  <si>
    <t>INV335374256</t>
  </si>
  <si>
    <t>INV336375343</t>
  </si>
  <si>
    <t>INV337376430</t>
  </si>
  <si>
    <t>INV338377517</t>
  </si>
  <si>
    <t>INV339378604</t>
  </si>
  <si>
    <t>INV340379691</t>
  </si>
  <si>
    <t>INV341380778</t>
  </si>
  <si>
    <t>INV342381865</t>
  </si>
  <si>
    <t>INV343382952</t>
  </si>
  <si>
    <t>INV344384039</t>
  </si>
  <si>
    <t>INV345385126</t>
  </si>
  <si>
    <t>INV346386213</t>
  </si>
  <si>
    <t>INV347387300</t>
  </si>
  <si>
    <t>INV348388387</t>
  </si>
  <si>
    <t>INV349389474</t>
  </si>
  <si>
    <t>INV350390561</t>
  </si>
  <si>
    <t>INV351391648</t>
  </si>
  <si>
    <t>INV352392735</t>
  </si>
  <si>
    <t>INV353393822</t>
  </si>
  <si>
    <t>INV354394909</t>
  </si>
  <si>
    <t>INV355395996</t>
  </si>
  <si>
    <t>INV356397083</t>
  </si>
  <si>
    <t>INV357398170</t>
  </si>
  <si>
    <t>INV358399257</t>
  </si>
  <si>
    <t>INV359400344</t>
  </si>
  <si>
    <t>INV360401431</t>
  </si>
  <si>
    <t>INV361402518</t>
  </si>
  <si>
    <t>INV362403605</t>
  </si>
  <si>
    <t>INV363404692</t>
  </si>
  <si>
    <t>INV364405779</t>
  </si>
  <si>
    <t>INV365406866</t>
  </si>
  <si>
    <t>INV366407953</t>
  </si>
  <si>
    <t>INV367409040</t>
  </si>
  <si>
    <t>INV368410127</t>
  </si>
  <si>
    <t>INV369411214</t>
  </si>
  <si>
    <t>INV370412301</t>
  </si>
  <si>
    <t>INV371413388</t>
  </si>
  <si>
    <t>INV372414475</t>
  </si>
  <si>
    <t>INV373415562</t>
  </si>
  <si>
    <t>INV374416649</t>
  </si>
  <si>
    <t>INV375417736</t>
  </si>
  <si>
    <t>INV376418823</t>
  </si>
  <si>
    <t>INV377419910</t>
  </si>
  <si>
    <t>INV378420997</t>
  </si>
  <si>
    <t>INV379422084</t>
  </si>
  <si>
    <t>INV380423171</t>
  </si>
  <si>
    <t>INV381424258</t>
  </si>
  <si>
    <t>INV382425345</t>
  </si>
  <si>
    <t>INV383426432</t>
  </si>
  <si>
    <t>INV384427519</t>
  </si>
  <si>
    <t>INV385428606</t>
  </si>
  <si>
    <t>INV386429693</t>
  </si>
  <si>
    <t>INV387430780</t>
  </si>
  <si>
    <t>INV388431867</t>
  </si>
  <si>
    <t>INV389432954</t>
  </si>
  <si>
    <t>INV390434041</t>
  </si>
  <si>
    <t>INV391435128</t>
  </si>
  <si>
    <t>INV392436215</t>
  </si>
  <si>
    <t>INV393437302</t>
  </si>
  <si>
    <t>INV394438389</t>
  </si>
  <si>
    <t>INV395439476</t>
  </si>
  <si>
    <t>INV396440563</t>
  </si>
  <si>
    <t>INV397441650</t>
  </si>
  <si>
    <t>INV398442737</t>
  </si>
  <si>
    <t>INV399443824</t>
  </si>
  <si>
    <t>INV400444911</t>
  </si>
  <si>
    <t>INV401445998</t>
  </si>
  <si>
    <t>INV402447085</t>
  </si>
  <si>
    <t>INV403448172</t>
  </si>
  <si>
    <t>INV404449259</t>
  </si>
  <si>
    <t>INV405450346</t>
  </si>
  <si>
    <t>INV406451433</t>
  </si>
  <si>
    <t>INV407452520</t>
  </si>
  <si>
    <t>INV408453607</t>
  </si>
  <si>
    <t>INV409454694</t>
  </si>
  <si>
    <t>INV410455781</t>
  </si>
  <si>
    <t>INV411456868</t>
  </si>
  <si>
    <t>INV412457955</t>
  </si>
  <si>
    <t>INV413459042</t>
  </si>
  <si>
    <t>INV414460129</t>
  </si>
  <si>
    <t>INV415461216</t>
  </si>
  <si>
    <t>INV416462303</t>
  </si>
  <si>
    <t>INV417463390</t>
  </si>
  <si>
    <t>INV418464477</t>
  </si>
  <si>
    <t>INV419465564</t>
  </si>
  <si>
    <t>INV420466651</t>
  </si>
  <si>
    <t>INV421467738</t>
  </si>
  <si>
    <t>INV422468825</t>
  </si>
  <si>
    <t>INV423469912</t>
  </si>
  <si>
    <t>INV424470999</t>
  </si>
  <si>
    <t>INV425472086</t>
  </si>
  <si>
    <t>INV426473173</t>
  </si>
  <si>
    <t>INV427474260</t>
  </si>
  <si>
    <t>INV428475347</t>
  </si>
  <si>
    <t>INV429476434</t>
  </si>
  <si>
    <t>INV430477521</t>
  </si>
  <si>
    <t>INV431478608</t>
  </si>
  <si>
    <t>Segment - Retail</t>
  </si>
  <si>
    <t>Year</t>
  </si>
  <si>
    <t>Segment - Distributor</t>
  </si>
  <si>
    <t>Segment - Export</t>
  </si>
  <si>
    <t>Historical Default Dataset (Pre-FLI)</t>
  </si>
  <si>
    <t>Final PDs</t>
  </si>
  <si>
    <t>Segment - Retailer</t>
  </si>
  <si>
    <t>Default</t>
  </si>
  <si>
    <t>Lifetime PD</t>
  </si>
  <si>
    <t>Baseline Scaler</t>
  </si>
  <si>
    <t>Upturn Scaler</t>
  </si>
  <si>
    <t>Downturn Scaler</t>
  </si>
  <si>
    <t>Baseline PD</t>
  </si>
  <si>
    <t>Upturn PD</t>
  </si>
  <si>
    <t>Downturn PD</t>
  </si>
  <si>
    <t>Historical Macro-economic Data vs Industry Trade Receivables Bad Debt Ratio (60 months)</t>
  </si>
  <si>
    <t>Month</t>
  </si>
  <si>
    <t>Bad Debt Ratio (%)</t>
  </si>
  <si>
    <t>Inflation (%)</t>
  </si>
  <si>
    <t>FX Rate</t>
  </si>
  <si>
    <t>Interest Rate (%)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</si>
  <si>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</si>
  <si>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</si>
  <si>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</si>
  <si>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</si>
  <si>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</si>
  <si>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</si>
  <si>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</si>
  <si>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</si>
  <si>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</si>
  <si>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</si>
  <si>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</si>
  <si>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</si>
  <si>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</si>
  <si>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</si>
  <si>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</si>
  <si>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</si>
  <si>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</si>
  <si>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</si>
  <si>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</si>
  <si>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</si>
  <si>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</si>
  <si>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</si>
  <si>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</si>
  <si>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</si>
  <si>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SD</t>
  </si>
  <si>
    <t>ECL</t>
  </si>
  <si>
    <t>ECL Base</t>
  </si>
  <si>
    <t>Ecl Up</t>
  </si>
  <si>
    <t>Ecl Down</t>
  </si>
  <si>
    <t>The above should be part of ECL analysis</t>
  </si>
  <si>
    <t>also coverga eratio</t>
  </si>
  <si>
    <t xml:space="preserve">CR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</si>
</sst>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"/>
    <numFmt numFmtId="166" formatCode="0.000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6"/>
      <color theme="1"/>
      <name val="Candara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Candara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1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8" xfId="0" applyFont="1" applyBorder="1"/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43" fontId="4" fillId="0" borderId="1" xfId="1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64" fontId="4" fillId="0" borderId="1" xfId="3" applyNumberFormat="1" applyFont="1" applyBorder="1" applyAlignment="1">
      <alignment horizontal="right"/>
    </xf>
    <xf numFmtId="10" fontId="4" fillId="0" borderId="1" xfId="3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/>
    </xf>
    <xf numFmtId="10" fontId="4" fillId="2" borderId="1" xfId="3" applyNumberFormat="1" applyFont="1" applyFill="1" applyBorder="1" applyAlignment="1">
      <alignment horizontal="right"/>
    </xf>
    <xf numFmtId="9" fontId="4" fillId="2" borderId="1" xfId="3" applyFont="1" applyFill="1" applyBorder="1" applyAlignment="1">
      <alignment horizontal="right"/>
    </xf>
    <xf numFmtId="44" fontId="4" fillId="0" borderId="1" xfId="2" applyFont="1" applyBorder="1" applyAlignment="1">
      <alignment horizontal="right"/>
    </xf>
    <xf numFmtId="0" fontId="4" fillId="0" borderId="0" xfId="0" pivotButton="1" applyFont="1"/>
    <xf numFmtId="44" fontId="4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/>
    <xf numFmtId="10" fontId="4" fillId="0" borderId="0" xfId="0" applyNumberFormat="1" applyFont="1"/>
    <xf numFmtId="43" fontId="4" fillId="0" borderId="1" xfId="1" applyFont="1" applyBorder="1" applyAlignment="1">
      <alignment horizontal="left"/>
    </xf>
    <xf numFmtId="17" fontId="4" fillId="0" borderId="1" xfId="2" applyNumberFormat="1" applyFont="1" applyBorder="1" applyAlignment="1">
      <alignment horizontal="right"/>
    </xf>
    <xf numFmtId="0" fontId="4" fillId="0" borderId="1" xfId="2" applyNumberFormat="1" applyFont="1" applyBorder="1" applyAlignment="1">
      <alignment horizontal="right"/>
    </xf>
    <xf numFmtId="0" fontId="5" fillId="0" borderId="0" xfId="0" applyFont="1" applyAlignment="1">
      <alignment horizontal="left" vertical="center" wrapText="1"/>
    </xf>
    <xf numFmtId="43" fontId="4" fillId="0" borderId="0" xfId="1" applyFont="1"/>
    <xf numFmtId="10" fontId="4" fillId="0" borderId="0" xfId="3" applyNumberFormat="1" applyFont="1"/>
    <xf numFmtId="0" fontId="4" fillId="0" borderId="1" xfId="1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17" fontId="4" fillId="0" borderId="1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17" fontId="4" fillId="0" borderId="5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13" xfId="0" applyBorder="1"/>
    <xf numFmtId="0" fontId="9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Continuous"/>
    </xf>
    <xf numFmtId="166" fontId="0" fillId="0" borderId="0" xfId="0" applyNumberFormat="1"/>
    <xf numFmtId="166" fontId="0" fillId="0" borderId="13" xfId="0" applyNumberFormat="1" applyBorder="1"/>
    <xf numFmtId="4" fontId="4" fillId="0" borderId="0" xfId="0" applyNumberFormat="1" applyFont="1"/>
    <xf numFmtId="164" fontId="4" fillId="0" borderId="0" xfId="3" applyNumberFormat="1" applyFont="1" applyBorder="1" applyAlignment="1">
      <alignment horizontal="left" vertical="center" wrapText="1"/>
    </xf>
    <xf numFmtId="164" fontId="4" fillId="0" borderId="6" xfId="3" applyNumberFormat="1" applyFont="1" applyBorder="1" applyAlignment="1">
      <alignment horizontal="left" vertical="center" wrapText="1"/>
    </xf>
    <xf numFmtId="165" fontId="4" fillId="0" borderId="0" xfId="0" applyNumberFormat="1" applyFont="1" applyAlignment="1">
      <alignment horizontal="left"/>
    </xf>
    <xf numFmtId="164" fontId="4" fillId="0" borderId="0" xfId="3" applyNumberFormat="1" applyFont="1" applyAlignment="1">
      <alignment horizontal="left"/>
    </xf>
    <xf numFmtId="10" fontId="4" fillId="0" borderId="1" xfId="1" applyNumberFormat="1" applyFont="1" applyBorder="1" applyAlignment="1">
      <alignment horizontal="right"/>
    </xf>
    <xf numFmtId="0" fontId="3" fillId="0" borderId="11" xfId="0" applyFont="1" applyBorder="1" applyAlignment="1">
      <alignment horizontal="right" vertical="center"/>
    </xf>
    <xf numFmtId="43" fontId="0" fillId="0" borderId="0" xfId="0" applyNumberFormat="1"/>
    <xf numFmtId="43" fontId="0" fillId="0" borderId="0" xfId="1" applyFont="1"/>
    <xf numFmtId="10" fontId="0" fillId="0" borderId="0" xfId="3" applyNumberFormat="1" applyFon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17"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1.25240798611" createdVersion="8" refreshedVersion="8" minRefreshableVersion="3" recordCount="432" xr:uid="{6AD94570-8F2A-4F6C-BEB9-ADA407461A32}">
  <cacheSource type="worksheet">
    <worksheetSource ref="D6:R438" sheet="EAD Engine"/>
  </cacheSource>
  <cacheFields count="15">
    <cacheField name="Customer ID" numFmtId="0">
      <sharedItems/>
    </cacheField>
    <cacheField name="Customer Name" numFmtId="0">
      <sharedItems/>
    </cacheField>
    <cacheField name="Invoice No" numFmtId="0">
      <sharedItems/>
    </cacheField>
    <cacheField name="Invoice Date" numFmtId="14">
      <sharedItems containsSemiMixedTypes="0" containsNonDate="0" containsDate="1" containsString="0" minDate="2025-02-28T00:00:00" maxDate="2026-01-30T00:00:00"/>
    </cacheField>
    <cacheField name="Due Date" numFmtId="14">
      <sharedItems containsSemiMixedTypes="0" containsNonDate="0" containsDate="1" containsString="0" minDate="2025-09-01T00:00:00" maxDate="2026-04-20T00:00:00"/>
    </cacheField>
    <cacheField name="Outstanding Amount" numFmtId="44">
      <sharedItems containsSemiMixedTypes="0" containsString="0" containsNumber="1" containsInteger="1" minValue="134262" maxValue="1000000000"/>
    </cacheField>
    <cacheField name="Segment" numFmtId="0">
      <sharedItems/>
    </cacheField>
    <cacheField name="Region" numFmtId="0">
      <sharedItems count="6">
        <s v="Kano"/>
        <s v="Port Harcourt"/>
        <s v="Abuja"/>
        <s v="Ibadan"/>
        <s v="Kaduna"/>
        <s v="Lagos"/>
      </sharedItems>
    </cacheField>
    <cacheField name="Product Type" numFmtId="0">
      <sharedItems/>
    </cacheField>
    <cacheField name="Credit Limit" numFmtId="44">
      <sharedItems containsSemiMixedTypes="0" containsString="0" containsNumber="1" containsInteger="1" minValue="268524" maxValue="7000000000"/>
    </cacheField>
    <cacheField name="Days Past Due" numFmtId="0">
      <sharedItems containsSemiMixedTypes="0" containsString="0" containsNumber="1" containsInteger="1" minValue="0" maxValue="180"/>
    </cacheField>
    <cacheField name="Aging Bucket" numFmtId="0">
      <sharedItems count="5">
        <s v="Current"/>
        <s v="31-60"/>
        <s v="61-90"/>
        <s v="90+"/>
        <s v="1-30"/>
      </sharedItems>
    </cacheField>
    <cacheField name="Exposure Share" numFmtId="10">
      <sharedItems containsSemiMixedTypes="0" containsString="0" containsNumber="1" minValue="2.1534336210946996E-5" maxValue="0.1603904024291832"/>
    </cacheField>
    <cacheField name="Utilization" numFmtId="9">
      <sharedItems containsSemiMixedTypes="0" containsString="0" containsNumber="1" minValue="0.1" maxValue="0.5"/>
    </cacheField>
    <cacheField name="Aging Bucket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s v="C179"/>
    <s v="Customer_179"/>
    <s v="INV77671"/>
    <d v="2025-05-20T00:00:00"/>
    <d v="2026-03-09T00:00:00"/>
    <n v="40000000"/>
    <s v="Distributor"/>
    <x v="0"/>
    <s v="Product Type 2"/>
    <n v="280000000"/>
    <n v="0"/>
    <x v="0"/>
    <n v="6.4156160971673287E-3"/>
    <n v="0.14285714285714285"/>
    <s v="&gt;5M"/>
  </r>
  <r>
    <s v="C064"/>
    <s v="Customer_064"/>
    <s v="INV13665"/>
    <d v="2025-06-18T00:00:00"/>
    <d v="2026-01-16T00:00:00"/>
    <n v="6773687"/>
    <s v="Distributor"/>
    <x v="1"/>
    <s v="Product Type 4"/>
    <n v="47415809"/>
    <n v="43"/>
    <x v="1"/>
    <n v="1.0864343838593268E-3"/>
    <n v="0.14285714285714285"/>
    <s v="&gt;5M"/>
  </r>
  <r>
    <s v="C149"/>
    <s v="Customer_149"/>
    <s v="INV37150"/>
    <d v="2025-12-31T00:00:00"/>
    <d v="2025-12-13T00:00:00"/>
    <n v="7857221"/>
    <s v="Retailer"/>
    <x v="0"/>
    <s v="Product Type 2"/>
    <n v="62857768"/>
    <n v="77"/>
    <x v="2"/>
    <n v="1.2602228381650294E-3"/>
    <n v="0.125"/>
    <s v="&gt;5M"/>
  </r>
  <r>
    <s v="C041"/>
    <s v="Customer_041"/>
    <s v="INV89622"/>
    <d v="2025-03-04T00:00:00"/>
    <d v="2025-10-06T00:00:00"/>
    <n v="1426502"/>
    <s v="Distributor"/>
    <x v="1"/>
    <s v="Product Type 4"/>
    <n v="4279506"/>
    <n v="145"/>
    <x v="3"/>
    <n v="2.2879722984603471E-4"/>
    <n v="0.33333333333333331"/>
    <s v="500K-2M"/>
  </r>
  <r>
    <s v="C017"/>
    <s v="Customer_017"/>
    <s v="INV65312"/>
    <d v="2025-05-13T00:00:00"/>
    <d v="2025-12-23T00:00:00"/>
    <n v="179838"/>
    <s v="Distributor"/>
    <x v="0"/>
    <s v="Product Type 4"/>
    <n v="719352"/>
    <n v="67"/>
    <x v="2"/>
    <n v="2.884428919205945E-5"/>
    <n v="0.25"/>
    <s v="&lt;500K"/>
  </r>
  <r>
    <s v="C192"/>
    <s v="Customer_192"/>
    <s v="INV86095"/>
    <d v="2025-11-12T00:00:00"/>
    <d v="2025-09-16T00:00:00"/>
    <n v="3334681"/>
    <s v="Distributor"/>
    <x v="2"/>
    <s v="Product Type 5"/>
    <n v="20008086"/>
    <n v="165"/>
    <x v="3"/>
    <n v="5.3485082756295113E-4"/>
    <n v="0.16666666666666666"/>
    <s v="2M-5M"/>
  </r>
  <r>
    <s v="C057"/>
    <s v="Customer_057"/>
    <s v="INV50639"/>
    <d v="2025-08-30T00:00:00"/>
    <d v="2025-11-07T00:00:00"/>
    <n v="2466404"/>
    <s v="Distributor"/>
    <x v="0"/>
    <s v="Product Type 1"/>
    <n v="4932808"/>
    <n v="113"/>
    <x v="3"/>
    <n v="3.9558753011294722E-4"/>
    <n v="0.5"/>
    <s v="2M-5M"/>
  </r>
  <r>
    <s v="C073"/>
    <s v="Customer_073"/>
    <s v="INV11480"/>
    <d v="2025-12-28T00:00:00"/>
    <d v="2025-11-16T00:00:00"/>
    <n v="7863875"/>
    <s v="Distributor"/>
    <x v="0"/>
    <s v="Product Type 5"/>
    <n v="39319375"/>
    <n v="104"/>
    <x v="3"/>
    <n v="1.2612900759027931E-3"/>
    <n v="0.2"/>
    <s v="&gt;5M"/>
  </r>
  <r>
    <s v="C170"/>
    <s v="Customer_170"/>
    <s v="INV73501"/>
    <d v="2025-09-09T00:00:00"/>
    <d v="2025-11-17T00:00:00"/>
    <n v="7050710"/>
    <s v="Distributor"/>
    <x v="2"/>
    <s v="Product Type 6"/>
    <n v="56405680"/>
    <n v="103"/>
    <x v="3"/>
    <n v="1.1308662143114665E-3"/>
    <n v="0.125"/>
    <s v="&gt;5M"/>
  </r>
  <r>
    <s v="C185"/>
    <s v="Customer_185"/>
    <s v="INV88619"/>
    <d v="2025-11-07T00:00:00"/>
    <d v="2025-11-26T00:00:00"/>
    <n v="4851914"/>
    <s v="Distributor"/>
    <x v="3"/>
    <s v="Product Type 1"/>
    <n v="48519140"/>
    <n v="94"/>
    <x v="3"/>
    <n v="7.7820043901178802E-4"/>
    <n v="0.1"/>
    <s v="2M-5M"/>
  </r>
  <r>
    <s v="C197"/>
    <s v="Customer_197"/>
    <s v="INV68281"/>
    <d v="2025-05-11T00:00:00"/>
    <d v="2025-10-10T00:00:00"/>
    <n v="5306932"/>
    <s v="Retailer"/>
    <x v="2"/>
    <s v="Product Type 6"/>
    <n v="42455456"/>
    <n v="141"/>
    <x v="3"/>
    <n v="8.5118095914431019E-4"/>
    <n v="0.125"/>
    <s v="&gt;5M"/>
  </r>
  <r>
    <s v="C198"/>
    <s v="Customer_198"/>
    <s v="INV63279"/>
    <d v="2025-12-07T00:00:00"/>
    <d v="2026-03-10T00:00:00"/>
    <n v="500000000"/>
    <s v="Retailer"/>
    <x v="2"/>
    <s v="Product Type 2"/>
    <n v="4000000000"/>
    <n v="0"/>
    <x v="0"/>
    <n v="8.0195201214591602E-2"/>
    <n v="0.125"/>
    <s v="&gt;5M"/>
  </r>
  <r>
    <s v="C170"/>
    <s v="Customer_170"/>
    <s v="INV33750"/>
    <d v="2025-12-30T00:00:00"/>
    <d v="2025-09-26T00:00:00"/>
    <n v="2966797"/>
    <s v="Export"/>
    <x v="4"/>
    <s v="Product Type 1"/>
    <n v="20767579"/>
    <n v="155"/>
    <x v="3"/>
    <n v="4.7584576475569347E-4"/>
    <n v="0.14285714285714285"/>
    <s v="2M-5M"/>
  </r>
  <r>
    <s v="C020"/>
    <s v="Customer_020"/>
    <s v="INV58704"/>
    <d v="2025-07-24T00:00:00"/>
    <d v="2025-12-27T00:00:00"/>
    <n v="5459976"/>
    <s v="Distributor"/>
    <x v="2"/>
    <s v="Product Type 3"/>
    <n v="38219832"/>
    <n v="63"/>
    <x v="2"/>
    <n v="8.7572774789368207E-4"/>
    <n v="0.14285714285714285"/>
    <s v="&gt;5M"/>
  </r>
  <r>
    <s v="C064"/>
    <s v="Customer_064"/>
    <s v="INV77673"/>
    <d v="2025-06-28T00:00:00"/>
    <d v="2025-12-18T00:00:00"/>
    <n v="4105356"/>
    <s v="Retailer"/>
    <x v="1"/>
    <s v="Product Type 3"/>
    <n v="8210712"/>
    <n v="72"/>
    <x v="2"/>
    <n v="6.5845970095506192E-4"/>
    <n v="0.5"/>
    <s v="2M-5M"/>
  </r>
  <r>
    <s v="C196"/>
    <s v="Customer_196"/>
    <s v="INV75656"/>
    <d v="2025-10-15T00:00:00"/>
    <d v="2025-09-16T00:00:00"/>
    <n v="100000000"/>
    <s v="Retailer"/>
    <x v="3"/>
    <s v="Product Type 2"/>
    <n v="400000000"/>
    <n v="165"/>
    <x v="3"/>
    <n v="1.6039040242918322E-2"/>
    <n v="0.25"/>
    <s v="&gt;5M"/>
  </r>
  <r>
    <s v="C133"/>
    <s v="Customer_133"/>
    <s v="INV61936"/>
    <d v="2025-04-17T00:00:00"/>
    <d v="2025-09-08T00:00:00"/>
    <n v="6277622"/>
    <s v="Distributor"/>
    <x v="3"/>
    <s v="Product Type 3"/>
    <n v="62776220"/>
    <n v="173"/>
    <x v="3"/>
    <n v="1.006870318878294E-3"/>
    <n v="0.1"/>
    <s v="&gt;5M"/>
  </r>
  <r>
    <s v="C058"/>
    <s v="Customer_058"/>
    <s v="INV66196"/>
    <d v="2025-04-03T00:00:00"/>
    <d v="2026-02-13T00:00:00"/>
    <n v="7761557"/>
    <s v="Retailer"/>
    <x v="0"/>
    <s v="Product Type 5"/>
    <n v="31046228"/>
    <n v="15"/>
    <x v="4"/>
    <n v="1.2448792507070441E-3"/>
    <n v="0.25"/>
    <s v="&gt;5M"/>
  </r>
  <r>
    <s v="C184"/>
    <s v="Customer_184"/>
    <s v="INV19277"/>
    <d v="2025-10-22T00:00:00"/>
    <d v="2025-10-01T00:00:00"/>
    <n v="7559100"/>
    <s v="Distributor"/>
    <x v="4"/>
    <s v="Product Type 2"/>
    <n v="60472800"/>
    <n v="150"/>
    <x v="3"/>
    <n v="1.2124070910024389E-3"/>
    <n v="0.125"/>
    <s v="&gt;5M"/>
  </r>
  <r>
    <s v="C102"/>
    <s v="Customer_102"/>
    <s v="INV63647"/>
    <d v="2025-08-06T00:00:00"/>
    <d v="2026-02-25T00:00:00"/>
    <n v="7446335"/>
    <s v="Retailer"/>
    <x v="1"/>
    <s v="Product Type 6"/>
    <n v="59570680"/>
    <n v="3"/>
    <x v="4"/>
    <n v="1.194320667272512E-3"/>
    <n v="0.125"/>
    <s v="&gt;5M"/>
  </r>
  <r>
    <s v="C041"/>
    <s v="Customer_041"/>
    <s v="INV33757"/>
    <d v="2025-07-12T00:00:00"/>
    <d v="2026-04-17T00:00:00"/>
    <n v="2236266"/>
    <s v="Export"/>
    <x v="1"/>
    <s v="Product Type 5"/>
    <n v="6708798"/>
    <n v="0"/>
    <x v="0"/>
    <n v="3.5867560367869983E-4"/>
    <n v="0.33333333333333331"/>
    <s v="2M-5M"/>
  </r>
  <r>
    <s v="C143"/>
    <s v="Customer_143"/>
    <s v="INV99947"/>
    <d v="2025-12-23T00:00:00"/>
    <d v="2025-10-03T00:00:00"/>
    <n v="2479535"/>
    <s v="Export"/>
    <x v="4"/>
    <s v="Product Type 4"/>
    <n v="12397675"/>
    <n v="148"/>
    <x v="3"/>
    <n v="3.9769361648724479E-4"/>
    <n v="0.2"/>
    <s v="2M-5M"/>
  </r>
  <r>
    <s v="C120"/>
    <s v="Customer_120"/>
    <s v="INV26435"/>
    <d v="2025-05-12T00:00:00"/>
    <d v="2026-03-19T00:00:00"/>
    <n v="3789713"/>
    <s v="Distributor"/>
    <x v="1"/>
    <s v="Product Type 3"/>
    <n v="26527991"/>
    <n v="0"/>
    <x v="0"/>
    <n v="6.0783359316110726E-4"/>
    <n v="0.14285714285714285"/>
    <s v="2M-5M"/>
  </r>
  <r>
    <s v="C015"/>
    <s v="Customer_015"/>
    <s v="INV85102"/>
    <d v="2025-12-02T00:00:00"/>
    <d v="2026-03-30T00:00:00"/>
    <n v="2326229"/>
    <s v="Distributor"/>
    <x v="2"/>
    <s v="Product Type 5"/>
    <n v="20936061"/>
    <n v="0"/>
    <x v="0"/>
    <n v="3.7310480545243643E-4"/>
    <n v="0.1111111111111111"/>
    <s v="2M-5M"/>
  </r>
  <r>
    <s v="C042"/>
    <s v="Customer_042"/>
    <s v="INV28092"/>
    <d v="2025-06-01T00:00:00"/>
    <d v="2026-03-08T00:00:00"/>
    <n v="3682459"/>
    <s v="Distributor"/>
    <x v="5"/>
    <s v="Product Type 3"/>
    <n v="25777213"/>
    <n v="0"/>
    <x v="0"/>
    <n v="5.9063108093896765E-4"/>
    <n v="0.14285714285714285"/>
    <s v="2M-5M"/>
  </r>
  <r>
    <s v="C061"/>
    <s v="Customer_061"/>
    <s v="INV57108"/>
    <d v="2025-04-04T00:00:00"/>
    <d v="2026-02-06T00:00:00"/>
    <n v="7790073"/>
    <s v="Distributor"/>
    <x v="1"/>
    <s v="Product Type 4"/>
    <n v="54530511"/>
    <n v="22"/>
    <x v="4"/>
    <n v="1.2494529434227146E-3"/>
    <n v="0.14285714285714285"/>
    <s v="&gt;5M"/>
  </r>
  <r>
    <s v="C186"/>
    <s v="Customer_186"/>
    <s v="INV76167"/>
    <d v="2025-10-07T00:00:00"/>
    <d v="2025-10-08T00:00:00"/>
    <n v="7648640"/>
    <s v="Retailer"/>
    <x v="0"/>
    <s v="Product Type 1"/>
    <n v="61189120"/>
    <n v="143"/>
    <x v="3"/>
    <n v="1.2267684476359479E-3"/>
    <n v="0.125"/>
    <s v="&gt;5M"/>
  </r>
  <r>
    <s v="C002"/>
    <s v="Customer_002"/>
    <s v="INV11494"/>
    <d v="2025-10-17T00:00:00"/>
    <d v="2025-11-15T00:00:00"/>
    <n v="2626852"/>
    <s v="Distributor"/>
    <x v="2"/>
    <s v="Product Type 4"/>
    <n v="5253704"/>
    <n v="105"/>
    <x v="3"/>
    <n v="4.2132184940190477E-4"/>
    <n v="0.5"/>
    <s v="2M-5M"/>
  </r>
  <r>
    <s v="C106"/>
    <s v="Customer_106"/>
    <s v="INV61878"/>
    <d v="2025-08-08T00:00:00"/>
    <d v="2026-03-30T00:00:00"/>
    <n v="350000000"/>
    <s v="Distributor"/>
    <x v="5"/>
    <s v="Product Type 6"/>
    <n v="2450000000"/>
    <n v="0"/>
    <x v="0"/>
    <n v="5.6136640850214123E-2"/>
    <n v="0.14285714285714285"/>
    <s v="&gt;5M"/>
  </r>
  <r>
    <s v="C028"/>
    <s v="Customer_028"/>
    <s v="INV75036"/>
    <d v="2026-01-06T00:00:00"/>
    <d v="2026-03-21T00:00:00"/>
    <n v="3404141"/>
    <s v="Distributor"/>
    <x v="5"/>
    <s v="Product Type 1"/>
    <n v="17020705"/>
    <n v="0"/>
    <x v="0"/>
    <n v="5.4599154491568214E-4"/>
    <n v="0.2"/>
    <s v="2M-5M"/>
  </r>
  <r>
    <s v="C008"/>
    <s v="Customer_008"/>
    <s v="INV47407"/>
    <d v="2025-04-27T00:00:00"/>
    <d v="2026-03-17T00:00:00"/>
    <n v="299262"/>
    <s v="Export"/>
    <x v="0"/>
    <s v="Product Type 1"/>
    <n v="2094834"/>
    <n v="0"/>
    <x v="0"/>
    <n v="4.7998752611762228E-5"/>
    <n v="0.14285714285714285"/>
    <s v="&lt;500K"/>
  </r>
  <r>
    <s v="C062"/>
    <s v="Customer_062"/>
    <s v="INV26889"/>
    <d v="2025-04-05T00:00:00"/>
    <d v="2025-09-20T00:00:00"/>
    <n v="3763235"/>
    <s v="Export"/>
    <x v="5"/>
    <s v="Product Type 2"/>
    <n v="33869115"/>
    <n v="161"/>
    <x v="3"/>
    <n v="6.0358677608558732E-4"/>
    <n v="0.1111111111111111"/>
    <s v="2M-5M"/>
  </r>
  <r>
    <s v="C126"/>
    <s v="Customer_126"/>
    <s v="INV41176"/>
    <d v="2025-07-09T00:00:00"/>
    <d v="2026-01-08T00:00:00"/>
    <n v="700000000"/>
    <s v="Retailer"/>
    <x v="2"/>
    <s v="Product Type 2"/>
    <n v="7000000000"/>
    <n v="51"/>
    <x v="1"/>
    <n v="0.11227328170042825"/>
    <n v="0.1"/>
    <s v="&gt;5M"/>
  </r>
  <r>
    <s v="C168"/>
    <s v="Customer_168"/>
    <s v="INV28491"/>
    <d v="2025-09-21T00:00:00"/>
    <d v="2025-10-20T00:00:00"/>
    <n v="5128956"/>
    <s v="Distributor"/>
    <x v="3"/>
    <s v="Product Type 4"/>
    <n v="20515824"/>
    <n v="131"/>
    <x v="3"/>
    <n v="8.2263531688157388E-4"/>
    <n v="0.25"/>
    <s v="&gt;5M"/>
  </r>
  <r>
    <s v="C111"/>
    <s v="Customer_111"/>
    <s v="INV73256"/>
    <d v="2025-05-16T00:00:00"/>
    <d v="2025-09-18T00:00:00"/>
    <n v="2752159"/>
    <s v="Retailer"/>
    <x v="3"/>
    <s v="Product Type 4"/>
    <n v="19265113"/>
    <n v="163"/>
    <x v="3"/>
    <n v="4.4141988955909844E-4"/>
    <n v="0.14285714285714285"/>
    <s v="2M-5M"/>
  </r>
  <r>
    <s v="C172"/>
    <s v="Customer_172"/>
    <s v="INV49703"/>
    <d v="2025-10-19T00:00:00"/>
    <d v="2025-12-16T00:00:00"/>
    <n v="7774769"/>
    <s v="Distributor"/>
    <x v="0"/>
    <s v="Product Type 1"/>
    <n v="31099076"/>
    <n v="74"/>
    <x v="2"/>
    <n v="1.2469983287039384E-3"/>
    <n v="0.25"/>
    <s v="&gt;5M"/>
  </r>
  <r>
    <s v="C194"/>
    <s v="Customer_194"/>
    <s v="INV57992"/>
    <d v="2025-03-06T00:00:00"/>
    <d v="2026-02-16T00:00:00"/>
    <n v="4943448"/>
    <s v="Distributor"/>
    <x v="0"/>
    <s v="Product Type 4"/>
    <n v="24717240"/>
    <n v="12"/>
    <x v="4"/>
    <n v="7.9288161410774095E-4"/>
    <n v="0.2"/>
    <s v="2M-5M"/>
  </r>
  <r>
    <s v="C179"/>
    <s v="Customer_179"/>
    <s v="INV66334"/>
    <d v="2025-12-10T00:00:00"/>
    <d v="2026-02-06T00:00:00"/>
    <n v="4551409"/>
    <s v="Distributor"/>
    <x v="3"/>
    <s v="Product Type 6"/>
    <n v="18205636"/>
    <n v="22"/>
    <x v="4"/>
    <n v="7.3000232112980633E-4"/>
    <n v="0.25"/>
    <s v="2M-5M"/>
  </r>
  <r>
    <s v="C142"/>
    <s v="Customer_142"/>
    <s v="INV77786"/>
    <d v="2026-01-02T00:00:00"/>
    <d v="2025-10-14T00:00:00"/>
    <n v="1691019"/>
    <s v="Retailer"/>
    <x v="4"/>
    <s v="Product Type 4"/>
    <n v="6764076"/>
    <n v="137"/>
    <x v="3"/>
    <n v="2.7122321792539498E-4"/>
    <n v="0.25"/>
    <s v="500K-2M"/>
  </r>
  <r>
    <s v="C025"/>
    <s v="Customer_025"/>
    <s v="INV98330"/>
    <d v="2025-09-28T00:00:00"/>
    <d v="2025-11-09T00:00:00"/>
    <n v="2821472"/>
    <s v="Retailer"/>
    <x v="5"/>
    <s v="Product Type 3"/>
    <n v="11285888"/>
    <n v="111"/>
    <x v="3"/>
    <n v="4.5253702952267243E-4"/>
    <n v="0.25"/>
    <s v="2M-5M"/>
  </r>
  <r>
    <s v="C080"/>
    <s v="Customer_080"/>
    <s v="INV87857"/>
    <d v="2025-04-11T00:00:00"/>
    <d v="2026-01-06T00:00:00"/>
    <n v="4816302"/>
    <s v="Distributor"/>
    <x v="3"/>
    <s v="Product Type 6"/>
    <n v="33714114"/>
    <n v="53"/>
    <x v="1"/>
    <n v="7.7248861600048E-4"/>
    <n v="0.14285714285714285"/>
    <s v="2M-5M"/>
  </r>
  <r>
    <s v="C080"/>
    <s v="Customer_080"/>
    <s v="INV54356"/>
    <d v="2025-11-13T00:00:00"/>
    <d v="2025-11-26T00:00:00"/>
    <n v="3158794"/>
    <s v="Retailer"/>
    <x v="1"/>
    <s v="Product Type 1"/>
    <n v="15793970"/>
    <n v="94"/>
    <x v="3"/>
    <n v="5.066402408508894E-4"/>
    <n v="0.2"/>
    <s v="2M-5M"/>
  </r>
  <r>
    <s v="C195"/>
    <s v="Customer_195"/>
    <s v="INV13184"/>
    <d v="2026-01-19T00:00:00"/>
    <d v="2025-10-16T00:00:00"/>
    <n v="5596976"/>
    <s v="Retailer"/>
    <x v="4"/>
    <s v="Product Type 5"/>
    <n v="55969760"/>
    <n v="135"/>
    <x v="3"/>
    <n v="8.9770123302648015E-4"/>
    <n v="0.1"/>
    <s v="&gt;5M"/>
  </r>
  <r>
    <s v="C147"/>
    <s v="Customer_147"/>
    <s v="INV17878"/>
    <d v="2025-06-28T00:00:00"/>
    <d v="2026-01-14T00:00:00"/>
    <n v="1064250"/>
    <s v="Distributor"/>
    <x v="3"/>
    <s v="Product Type 1"/>
    <n v="3192750"/>
    <n v="45"/>
    <x v="1"/>
    <n v="1.7069548578525824E-4"/>
    <n v="0.33333333333333331"/>
    <s v="500K-2M"/>
  </r>
  <r>
    <s v="C102"/>
    <s v="Customer_102"/>
    <s v="INV79685"/>
    <d v="2025-08-28T00:00:00"/>
    <d v="2026-01-07T00:00:00"/>
    <n v="6065598"/>
    <s v="Distributor"/>
    <x v="5"/>
    <s v="Product Type 3"/>
    <n v="24262392"/>
    <n v="52"/>
    <x v="1"/>
    <n v="9.7286370419364884E-4"/>
    <n v="0.25"/>
    <s v="&gt;5M"/>
  </r>
  <r>
    <s v="C194"/>
    <s v="Customer_194"/>
    <s v="INV40380"/>
    <d v="2025-09-25T00:00:00"/>
    <d v="2025-09-28T00:00:00"/>
    <n v="2249385"/>
    <s v="Retailer"/>
    <x v="1"/>
    <s v="Product Type 4"/>
    <n v="22493850"/>
    <n v="153"/>
    <x v="3"/>
    <n v="3.6077976536816829E-4"/>
    <n v="0.1"/>
    <s v="2M-5M"/>
  </r>
  <r>
    <s v="C199"/>
    <s v="Customer_199"/>
    <s v="INV73895"/>
    <d v="2025-06-10T00:00:00"/>
    <d v="2026-03-04T00:00:00"/>
    <n v="1972121"/>
    <s v="Distributor"/>
    <x v="5"/>
    <s v="Product Type 6"/>
    <n v="15776968"/>
    <n v="0"/>
    <x v="0"/>
    <n v="3.1630928082904326E-4"/>
    <n v="0.125"/>
    <s v="500K-2M"/>
  </r>
  <r>
    <s v="C127"/>
    <s v="Customer_127"/>
    <s v="INV78933"/>
    <d v="2025-11-05T00:00:00"/>
    <d v="2025-12-18T00:00:00"/>
    <n v="3645256"/>
    <s v="Distributor"/>
    <x v="5"/>
    <s v="Product Type 1"/>
    <n v="7290512"/>
    <n v="72"/>
    <x v="2"/>
    <n v="5.8466407679739465E-4"/>
    <n v="0.5"/>
    <s v="2M-5M"/>
  </r>
  <r>
    <s v="C044"/>
    <s v="Customer_044"/>
    <s v="INV17960"/>
    <d v="2025-04-12T00:00:00"/>
    <d v="2025-11-08T00:00:00"/>
    <n v="3822642"/>
    <s v="Distributor"/>
    <x v="1"/>
    <s v="Product Type 4"/>
    <n v="7645284"/>
    <n v="112"/>
    <x v="3"/>
    <n v="6.1311508872269782E-4"/>
    <n v="0.5"/>
    <s v="2M-5M"/>
  </r>
  <r>
    <s v="C023"/>
    <s v="Customer_023"/>
    <s v="INV88949"/>
    <d v="2026-01-21T00:00:00"/>
    <d v="2026-03-08T00:00:00"/>
    <n v="7037834"/>
    <s v="Retailer"/>
    <x v="1"/>
    <s v="Product Type 3"/>
    <n v="70378340"/>
    <n v="0"/>
    <x v="0"/>
    <n v="1.1288010274897882E-3"/>
    <n v="0.1"/>
    <s v="&gt;5M"/>
  </r>
  <r>
    <s v="C041"/>
    <s v="Customer_041"/>
    <s v="INV26168"/>
    <d v="2025-06-21T00:00:00"/>
    <d v="2026-03-14T00:00:00"/>
    <n v="7763525"/>
    <s v="Retailer"/>
    <x v="2"/>
    <s v="Product Type 1"/>
    <n v="23290575"/>
    <n v="0"/>
    <x v="0"/>
    <n v="1.2451948990190246E-3"/>
    <n v="0.33333333333333331"/>
    <s v="&gt;5M"/>
  </r>
  <r>
    <s v="C185"/>
    <s v="Customer_185"/>
    <s v="INV10859"/>
    <d v="2025-06-24T00:00:00"/>
    <d v="2025-11-07T00:00:00"/>
    <n v="134262"/>
    <s v="Distributor"/>
    <x v="4"/>
    <s v="Product Type 2"/>
    <n v="268524"/>
    <n v="113"/>
    <x v="3"/>
    <n v="2.1534336210946996E-5"/>
    <n v="0.5"/>
    <s v="&lt;500K"/>
  </r>
  <r>
    <s v="C107"/>
    <s v="Customer_107"/>
    <s v="INV56362"/>
    <d v="2025-04-17T00:00:00"/>
    <d v="2026-01-13T00:00:00"/>
    <n v="863108"/>
    <s v="Distributor"/>
    <x v="0"/>
    <s v="Product Type 4"/>
    <n v="5178648"/>
    <n v="46"/>
    <x v="1"/>
    <n v="1.3843423945984745E-4"/>
    <n v="0.16666666666666666"/>
    <s v="500K-2M"/>
  </r>
  <r>
    <s v="C174"/>
    <s v="Customer_174"/>
    <s v="INV26909"/>
    <d v="2025-04-28T00:00:00"/>
    <d v="2026-02-26T00:00:00"/>
    <n v="5532010"/>
    <s v="Distributor"/>
    <x v="5"/>
    <s v="Product Type 3"/>
    <n v="11064020"/>
    <n v="2"/>
    <x v="4"/>
    <n v="8.8728131014226589E-4"/>
    <n v="0.5"/>
    <s v="&gt;5M"/>
  </r>
  <r>
    <s v="C198"/>
    <s v="Customer_198"/>
    <s v="INV82442"/>
    <d v="2026-01-17T00:00:00"/>
    <d v="2025-11-21T00:00:00"/>
    <n v="651602"/>
    <s v="Distributor"/>
    <x v="3"/>
    <s v="Product Type 5"/>
    <n v="1954806"/>
    <n v="99"/>
    <x v="3"/>
    <n v="1.0451070700366064E-4"/>
    <n v="0.33333333333333331"/>
    <s v="500K-2M"/>
  </r>
  <r>
    <s v="C072"/>
    <s v="Customer_072"/>
    <s v="INV73933"/>
    <d v="2025-02-28T00:00:00"/>
    <d v="2026-02-10T00:00:00"/>
    <n v="1621944"/>
    <s v="Distributor"/>
    <x v="3"/>
    <s v="Product Type 6"/>
    <n v="6487776"/>
    <n v="18"/>
    <x v="4"/>
    <n v="2.6014425087759915E-4"/>
    <n v="0.25"/>
    <s v="500K-2M"/>
  </r>
  <r>
    <s v="C192"/>
    <s v="Customer_192"/>
    <s v="INV73036"/>
    <d v="2025-09-05T00:00:00"/>
    <d v="2025-11-09T00:00:00"/>
    <n v="4697449"/>
    <s v="Retailer"/>
    <x v="5"/>
    <s v="Product Type 5"/>
    <n v="9394898"/>
    <n v="111"/>
    <x v="3"/>
    <n v="7.5342573550056427E-4"/>
    <n v="0.5"/>
    <s v="2M-5M"/>
  </r>
  <r>
    <s v="C082"/>
    <s v="Customer_082"/>
    <s v="INV31954"/>
    <d v="2026-01-08T00:00:00"/>
    <d v="2025-09-22T00:00:00"/>
    <n v="853185"/>
    <s v="Distributor"/>
    <x v="0"/>
    <s v="Product Type 3"/>
    <n v="6825480"/>
    <n v="159"/>
    <x v="3"/>
    <n v="1.3684268549654267E-4"/>
    <n v="0.125"/>
    <s v="500K-2M"/>
  </r>
  <r>
    <s v="C020"/>
    <s v="Customer_020"/>
    <s v="INV56751"/>
    <d v="2025-05-18T00:00:00"/>
    <d v="2026-01-19T00:00:00"/>
    <n v="4620015"/>
    <s v="Distributor"/>
    <x v="3"/>
    <s v="Product Type 4"/>
    <n v="9240030"/>
    <n v="40"/>
    <x v="1"/>
    <n v="7.4100606507886287E-4"/>
    <n v="0.5"/>
    <s v="2M-5M"/>
  </r>
  <r>
    <s v="C122"/>
    <s v="Customer_122"/>
    <s v="INV88927"/>
    <d v="2026-01-10T00:00:00"/>
    <d v="2026-02-16T00:00:00"/>
    <n v="2086482"/>
    <s v="Distributor"/>
    <x v="2"/>
    <s v="Product Type 1"/>
    <n v="14605374"/>
    <n v="12"/>
    <x v="4"/>
    <n v="3.3465168764124705E-4"/>
    <n v="0.14285714285714285"/>
    <s v="2M-5M"/>
  </r>
  <r>
    <s v="C074"/>
    <s v="Customer_074"/>
    <s v="INV86968"/>
    <d v="2025-05-29T00:00:00"/>
    <d v="2025-11-02T00:00:00"/>
    <n v="247822"/>
    <s v="Retailer"/>
    <x v="3"/>
    <s v="Product Type 6"/>
    <n v="991288"/>
    <n v="118"/>
    <x v="3"/>
    <n v="3.9748270310805043E-5"/>
    <n v="0.25"/>
    <s v="&lt;500K"/>
  </r>
  <r>
    <s v="C114"/>
    <s v="Customer_114"/>
    <s v="INV35505"/>
    <d v="2025-09-11T00:00:00"/>
    <d v="2025-10-31T00:00:00"/>
    <n v="5606097"/>
    <s v="Distributor"/>
    <x v="3"/>
    <s v="Product Type 3"/>
    <n v="16818291"/>
    <n v="120"/>
    <x v="3"/>
    <n v="8.9916415388703673E-4"/>
    <n v="0.33333333333333331"/>
    <s v="&gt;5M"/>
  </r>
  <r>
    <s v="C086"/>
    <s v="Customer_086"/>
    <s v="INV41237"/>
    <d v="2025-04-04T00:00:00"/>
    <d v="2026-01-09T00:00:00"/>
    <n v="6980089"/>
    <s v="Distributor"/>
    <x v="4"/>
    <s v="Product Type 5"/>
    <n v="13960178"/>
    <n v="50"/>
    <x v="1"/>
    <n v="1.1195392837015151E-3"/>
    <n v="0.5"/>
    <s v="&gt;5M"/>
  </r>
  <r>
    <s v="C083"/>
    <s v="Customer_083"/>
    <s v="INV43777"/>
    <d v="2025-09-04T00:00:00"/>
    <d v="2025-09-24T00:00:00"/>
    <n v="6334571"/>
    <s v="Distributor"/>
    <x v="2"/>
    <s v="Product Type 3"/>
    <n v="31672855"/>
    <n v="157"/>
    <x v="3"/>
    <n v="1.0160043919062336E-3"/>
    <n v="0.2"/>
    <s v="&gt;5M"/>
  </r>
  <r>
    <s v="C069"/>
    <s v="Customer_069"/>
    <s v="INV63445"/>
    <d v="2026-01-29T00:00:00"/>
    <d v="2025-10-05T00:00:00"/>
    <n v="6400107"/>
    <s v="Retailer"/>
    <x v="0"/>
    <s v="Product Type 6"/>
    <n v="51200856"/>
    <n v="146"/>
    <x v="3"/>
    <n v="1.0265157373198326E-3"/>
    <n v="0.125"/>
    <s v="&gt;5M"/>
  </r>
  <r>
    <s v="C035"/>
    <s v="Customer_035"/>
    <s v="INV42078"/>
    <d v="2025-12-14T00:00:00"/>
    <d v="2026-02-14T00:00:00"/>
    <n v="6405409"/>
    <s v="Distributor"/>
    <x v="0"/>
    <s v="Product Type 6"/>
    <n v="64054090"/>
    <n v="14"/>
    <x v="4"/>
    <n v="1.027366127233512E-3"/>
    <n v="0.1"/>
    <s v="&gt;5M"/>
  </r>
  <r>
    <s v="C119"/>
    <s v="Customer_119"/>
    <s v="INV89912"/>
    <d v="2025-11-24T00:00:00"/>
    <d v="2025-11-17T00:00:00"/>
    <n v="598578"/>
    <s v="Retailer"/>
    <x v="3"/>
    <s v="Product Type 5"/>
    <n v="3591468"/>
    <n v="103"/>
    <x v="3"/>
    <n v="9.6006166305255634E-5"/>
    <n v="0.16666666666666666"/>
    <s v="500K-2M"/>
  </r>
  <r>
    <s v="C173"/>
    <s v="Customer_173"/>
    <s v="INV75305"/>
    <d v="2025-03-24T00:00:00"/>
    <d v="2026-03-03T00:00:00"/>
    <n v="7455106"/>
    <s v="Retailer"/>
    <x v="3"/>
    <s v="Product Type 5"/>
    <n v="14910212"/>
    <n v="0"/>
    <x v="0"/>
    <n v="1.1957274514922183E-3"/>
    <n v="0.5"/>
    <s v="&gt;5M"/>
  </r>
  <r>
    <s v="C043"/>
    <s v="Customer_043"/>
    <s v="INV16715"/>
    <d v="2025-07-15T00:00:00"/>
    <d v="2025-09-27T00:00:00"/>
    <n v="1784275"/>
    <s v="Distributor"/>
    <x v="5"/>
    <s v="Product Type 4"/>
    <n v="5352825"/>
    <n v="154"/>
    <x v="3"/>
    <n v="2.8618058529433088E-4"/>
    <n v="0.33333333333333331"/>
    <s v="500K-2M"/>
  </r>
  <r>
    <s v="C185"/>
    <s v="Customer_185"/>
    <s v="INV94649"/>
    <d v="2025-12-01T00:00:00"/>
    <d v="2025-10-18T00:00:00"/>
    <n v="3277773"/>
    <s v="Distributor"/>
    <x v="0"/>
    <s v="Product Type 6"/>
    <n v="13111092"/>
    <n v="133"/>
    <x v="3"/>
    <n v="5.2572333054151112E-4"/>
    <n v="0.25"/>
    <s v="2M-5M"/>
  </r>
  <r>
    <s v="C140"/>
    <s v="Customer_140"/>
    <s v="INV85412"/>
    <d v="2025-06-10T00:00:00"/>
    <d v="2026-03-08T00:00:00"/>
    <n v="6078909"/>
    <s v="Distributor"/>
    <x v="5"/>
    <s v="Product Type 6"/>
    <n v="42552363"/>
    <n v="0"/>
    <x v="0"/>
    <n v="9.7499866084038375E-4"/>
    <n v="0.14285714285714285"/>
    <s v="&gt;5M"/>
  </r>
  <r>
    <s v="C186"/>
    <s v="Customer_186"/>
    <s v="INV68720"/>
    <d v="2025-05-23T00:00:00"/>
    <d v="2026-03-04T00:00:00"/>
    <n v="6436756"/>
    <s v="Distributor"/>
    <x v="1"/>
    <s v="Product Type 6"/>
    <n v="12873512"/>
    <n v="0"/>
    <x v="0"/>
    <n v="1.0323938851784595E-3"/>
    <n v="0.5"/>
    <s v="&gt;5M"/>
  </r>
  <r>
    <s v="C050"/>
    <s v="Customer_050"/>
    <s v="INV50172"/>
    <d v="2025-05-04T00:00:00"/>
    <d v="2025-12-04T00:00:00"/>
    <n v="5725597"/>
    <s v="Distributor"/>
    <x v="5"/>
    <s v="Product Type 4"/>
    <n v="17176791"/>
    <n v="86"/>
    <x v="2"/>
    <n v="9.1833080697732413E-4"/>
    <n v="0.33333333333333331"/>
    <s v="&gt;5M"/>
  </r>
  <r>
    <s v="C081"/>
    <s v="Customer_081"/>
    <s v="INV15495"/>
    <d v="2025-10-17T00:00:00"/>
    <d v="2025-09-23T00:00:00"/>
    <n v="5005012"/>
    <s v="Distributor"/>
    <x v="0"/>
    <s v="Product Type 4"/>
    <n v="30030072"/>
    <n v="158"/>
    <x v="3"/>
    <n v="8.0275588884289116E-4"/>
    <n v="0.16666666666666666"/>
    <s v="&gt;5M"/>
  </r>
  <r>
    <s v="C144"/>
    <s v="Customer_144"/>
    <s v="INV73064"/>
    <d v="2025-10-01T00:00:00"/>
    <d v="2025-10-18T00:00:00"/>
    <n v="1478977"/>
    <s v="Distributor"/>
    <x v="0"/>
    <s v="Product Type 4"/>
    <n v="10352839"/>
    <n v="133"/>
    <x v="3"/>
    <n v="2.372137162135061E-4"/>
    <n v="0.14285714285714285"/>
    <s v="500K-2M"/>
  </r>
  <r>
    <s v="C154"/>
    <s v="Customer_154"/>
    <s v="INV52931"/>
    <d v="2025-05-12T00:00:00"/>
    <d v="2026-03-08T00:00:00"/>
    <n v="6934389"/>
    <s v="Retailer"/>
    <x v="4"/>
    <s v="Product Type 3"/>
    <n v="13868778"/>
    <n v="0"/>
    <x v="0"/>
    <n v="1.1122094423105014E-3"/>
    <n v="0.5"/>
    <s v="&gt;5M"/>
  </r>
  <r>
    <s v="C179"/>
    <s v="Customer_179"/>
    <s v="INV44213"/>
    <d v="2025-06-27T00:00:00"/>
    <d v="2025-12-10T00:00:00"/>
    <n v="2279060"/>
    <s v="Retailer"/>
    <x v="1"/>
    <s v="Product Type 6"/>
    <n v="4558120"/>
    <n v="80"/>
    <x v="2"/>
    <n v="3.6553935056025429E-4"/>
    <n v="0.5"/>
    <s v="2M-5M"/>
  </r>
  <r>
    <s v="C117"/>
    <s v="Customer_117"/>
    <s v="INV63636"/>
    <d v="2026-01-05T00:00:00"/>
    <d v="2026-02-04T00:00:00"/>
    <n v="700267"/>
    <s v="Distributor"/>
    <x v="3"/>
    <s v="Product Type 2"/>
    <n v="1400534"/>
    <n v="24"/>
    <x v="4"/>
    <n v="1.1231610593787684E-4"/>
    <n v="0.5"/>
    <s v="500K-2M"/>
  </r>
  <r>
    <s v="C045"/>
    <s v="Customer_045"/>
    <s v="INV44710"/>
    <d v="2025-09-12T00:00:00"/>
    <d v="2026-02-12T00:00:00"/>
    <n v="755804"/>
    <s v="Distributor"/>
    <x v="0"/>
    <s v="Product Type 5"/>
    <n v="4534824"/>
    <n v="16"/>
    <x v="4"/>
    <n v="1.2122370771758639E-4"/>
    <n v="0.16666666666666666"/>
    <s v="500K-2M"/>
  </r>
  <r>
    <s v="C132"/>
    <s v="Customer_132"/>
    <s v="INV34595"/>
    <d v="2025-09-28T00:00:00"/>
    <d v="2025-11-26T00:00:00"/>
    <n v="6602382"/>
    <s v="Retailer"/>
    <x v="5"/>
    <s v="Product Type 4"/>
    <n v="52819056"/>
    <n v="94"/>
    <x v="3"/>
    <n v="1.0589587059711956E-3"/>
    <n v="0.125"/>
    <s v="&gt;5M"/>
  </r>
  <r>
    <s v="C115"/>
    <s v="Customer_115"/>
    <s v="INV40655"/>
    <d v="2025-03-30T00:00:00"/>
    <d v="2026-03-19T00:00:00"/>
    <n v="7682532"/>
    <s v="Distributor"/>
    <x v="5"/>
    <s v="Product Type 1"/>
    <n v="38412660"/>
    <n v="0"/>
    <x v="0"/>
    <n v="1.2322043991550779E-3"/>
    <n v="0.2"/>
    <s v="&gt;5M"/>
  </r>
  <r>
    <s v="C084"/>
    <s v="Customer_084"/>
    <s v="INV76324"/>
    <d v="2026-01-05T00:00:00"/>
    <d v="2025-10-20T00:00:00"/>
    <n v="4097357"/>
    <s v="Distributor"/>
    <x v="5"/>
    <s v="Product Type 5"/>
    <n v="28681499"/>
    <n v="131"/>
    <x v="3"/>
    <n v="6.5717673812603088E-4"/>
    <n v="0.14285714285714285"/>
    <s v="2M-5M"/>
  </r>
  <r>
    <s v="C086"/>
    <s v="Customer_086"/>
    <s v="INV36063"/>
    <d v="2025-06-23T00:00:00"/>
    <d v="2025-12-02T00:00:00"/>
    <n v="5163577"/>
    <s v="Export"/>
    <x v="3"/>
    <s v="Product Type 6"/>
    <n v="20654308"/>
    <n v="88"/>
    <x v="2"/>
    <n v="8.2818819300407463E-4"/>
    <n v="0.25"/>
    <s v="&gt;5M"/>
  </r>
  <r>
    <s v="C043"/>
    <s v="Customer_043"/>
    <s v="INV51894"/>
    <d v="2025-11-20T00:00:00"/>
    <d v="2026-04-04T00:00:00"/>
    <n v="5256393"/>
    <s v="Distributor"/>
    <x v="4"/>
    <s v="Product Type 5"/>
    <n v="31538358"/>
    <n v="0"/>
    <x v="0"/>
    <n v="8.4307498859594163E-4"/>
    <n v="0.16666666666666666"/>
    <s v="&gt;5M"/>
  </r>
  <r>
    <s v="C025"/>
    <s v="Customer_025"/>
    <s v="INV50988"/>
    <d v="2025-06-07T00:00:00"/>
    <d v="2025-10-31T00:00:00"/>
    <n v="6184712"/>
    <s v="Distributor"/>
    <x v="2"/>
    <s v="Product Type 1"/>
    <n v="24738848"/>
    <n v="120"/>
    <x v="3"/>
    <n v="9.9196844658859854E-4"/>
    <n v="0.25"/>
    <s v="&gt;5M"/>
  </r>
  <r>
    <s v="C079"/>
    <s v="Customer_079"/>
    <s v="INV68338"/>
    <d v="2025-06-02T00:00:00"/>
    <d v="2026-02-01T00:00:00"/>
    <n v="237918"/>
    <s v="Retailer"/>
    <x v="1"/>
    <s v="Product Type 4"/>
    <n v="1903344"/>
    <n v="27"/>
    <x v="4"/>
    <n v="3.8159763765146415E-5"/>
    <n v="0.125"/>
    <s v="&lt;500K"/>
  </r>
  <r>
    <s v="C181"/>
    <s v="Customer_181"/>
    <s v="INV91685"/>
    <d v="2026-01-16T00:00:00"/>
    <d v="2025-09-21T00:00:00"/>
    <n v="6127308"/>
    <s v="Distributor"/>
    <x v="2"/>
    <s v="Product Type 5"/>
    <n v="49018464"/>
    <n v="160"/>
    <x v="3"/>
    <n v="9.8276139592755373E-4"/>
    <n v="0.125"/>
    <s v="&gt;5M"/>
  </r>
  <r>
    <s v="C033"/>
    <s v="Customer_033"/>
    <s v="INV28680"/>
    <d v="2026-01-06T00:00:00"/>
    <d v="2025-11-09T00:00:00"/>
    <n v="3282995"/>
    <s v="Distributor"/>
    <x v="5"/>
    <s v="Product Type 4"/>
    <n v="26263960"/>
    <n v="111"/>
    <x v="3"/>
    <n v="5.2656088922299637E-4"/>
    <n v="0.125"/>
    <s v="2M-5M"/>
  </r>
  <r>
    <s v="C101"/>
    <s v="Customer_101"/>
    <s v="INV30734"/>
    <d v="2025-07-07T00:00:00"/>
    <d v="2026-03-14T00:00:00"/>
    <n v="3471151"/>
    <s v="Retailer"/>
    <x v="3"/>
    <s v="Product Type 4"/>
    <n v="6942302"/>
    <n v="0"/>
    <x v="0"/>
    <n v="5.5673930578246174E-4"/>
    <n v="0.5"/>
    <s v="2M-5M"/>
  </r>
  <r>
    <s v="C139"/>
    <s v="Customer_139"/>
    <s v="INV86370"/>
    <d v="2025-05-15T00:00:00"/>
    <d v="2025-09-17T00:00:00"/>
    <n v="7024716"/>
    <s v="Distributor"/>
    <x v="3"/>
    <s v="Product Type 5"/>
    <n v="49173012"/>
    <n v="164"/>
    <x v="3"/>
    <n v="1.1266970261907222E-3"/>
    <n v="0.14285714285714285"/>
    <s v="&gt;5M"/>
  </r>
  <r>
    <s v="C034"/>
    <s v="Customer_034"/>
    <s v="INV47106"/>
    <d v="2025-08-31T00:00:00"/>
    <d v="2025-10-18T00:00:00"/>
    <n v="3311352"/>
    <s v="Retailer"/>
    <x v="4"/>
    <s v="Product Type 1"/>
    <n v="29802168"/>
    <n v="133"/>
    <x v="3"/>
    <n v="5.3110907986468072E-4"/>
    <n v="0.1111111111111111"/>
    <s v="2M-5M"/>
  </r>
  <r>
    <s v="C176"/>
    <s v="Customer_176"/>
    <s v="INV75933"/>
    <d v="2025-08-31T00:00:00"/>
    <d v="2025-11-06T00:00:00"/>
    <n v="170510"/>
    <s v="Retailer"/>
    <x v="2"/>
    <s v="Product Type 1"/>
    <n v="1705100"/>
    <n v="114"/>
    <x v="3"/>
    <n v="2.7348167518200029E-5"/>
    <n v="0.1"/>
    <s v="&lt;500K"/>
  </r>
  <r>
    <s v="C168"/>
    <s v="Customer_168"/>
    <s v="INV48164"/>
    <d v="2025-07-16T00:00:00"/>
    <d v="2026-01-07T00:00:00"/>
    <n v="4298551"/>
    <s v="Retailer"/>
    <x v="4"/>
    <s v="Product Type 3"/>
    <n v="34388408"/>
    <n v="52"/>
    <x v="1"/>
    <n v="6.8944632475236793E-4"/>
    <n v="0.125"/>
    <s v="2M-5M"/>
  </r>
  <r>
    <s v="C009"/>
    <s v="Customer_009"/>
    <s v="INV20119"/>
    <d v="2025-10-24T00:00:00"/>
    <d v="2026-01-08T00:00:00"/>
    <n v="754132"/>
    <s v="Distributor"/>
    <x v="4"/>
    <s v="Product Type 1"/>
    <n v="1508264"/>
    <n v="51"/>
    <x v="1"/>
    <n v="1.2095553496472479E-4"/>
    <n v="0.5"/>
    <s v="500K-2M"/>
  </r>
  <r>
    <s v="C056"/>
    <s v="Customer_056"/>
    <s v="INV23340"/>
    <d v="2025-10-03T00:00:00"/>
    <d v="2025-12-25T00:00:00"/>
    <n v="7545511"/>
    <s v="Distributor"/>
    <x v="3"/>
    <s v="Product Type 6"/>
    <n v="75455110"/>
    <n v="65"/>
    <x v="2"/>
    <n v="1.2102275458238288E-3"/>
    <n v="0.1"/>
    <s v="&gt;5M"/>
  </r>
  <r>
    <s v="C126"/>
    <s v="Customer_126"/>
    <s v="INV10681"/>
    <d v="2025-11-11T00:00:00"/>
    <d v="2025-11-24T00:00:00"/>
    <n v="1854822"/>
    <s v="Distributor"/>
    <x v="0"/>
    <s v="Product Type 1"/>
    <n v="16693398"/>
    <n v="96"/>
    <x v="3"/>
    <n v="2.9749564701450246E-4"/>
    <n v="0.1111111111111111"/>
    <s v="500K-2M"/>
  </r>
  <r>
    <s v="C090"/>
    <s v="Customer_090"/>
    <s v="INV94456"/>
    <d v="2025-09-04T00:00:00"/>
    <d v="2025-11-19T00:00:00"/>
    <n v="7745544"/>
    <s v="Distributor"/>
    <x v="3"/>
    <s v="Product Type 2"/>
    <n v="23236632"/>
    <n v="101"/>
    <x v="3"/>
    <n v="1.2423109191929454E-3"/>
    <n v="0.33333333333333331"/>
    <s v="&gt;5M"/>
  </r>
  <r>
    <s v="C092"/>
    <s v="Customer_092"/>
    <s v="INV42249"/>
    <d v="2025-12-21T00:00:00"/>
    <d v="2026-01-28T00:00:00"/>
    <n v="1974576"/>
    <s v="Retailer"/>
    <x v="2"/>
    <s v="Product Type 2"/>
    <n v="11847456"/>
    <n v="31"/>
    <x v="1"/>
    <n v="3.167030392670069E-4"/>
    <n v="0.16666666666666666"/>
    <s v="500K-2M"/>
  </r>
  <r>
    <s v="C146"/>
    <s v="Customer_146"/>
    <s v="INV25942"/>
    <d v="2025-12-29T00:00:00"/>
    <d v="2025-12-13T00:00:00"/>
    <n v="5719916"/>
    <s v="Retailer"/>
    <x v="0"/>
    <s v="Product Type 6"/>
    <n v="45759328"/>
    <n v="77"/>
    <x v="2"/>
    <n v="9.17419629101124E-4"/>
    <n v="0.125"/>
    <s v="&gt;5M"/>
  </r>
  <r>
    <s v="C025"/>
    <s v="Customer_025"/>
    <s v="INV46039"/>
    <d v="2026-01-23T00:00:00"/>
    <d v="2025-09-18T00:00:00"/>
    <n v="5867363"/>
    <s v="Retailer"/>
    <x v="2"/>
    <s v="Product Type 5"/>
    <n v="52806267"/>
    <n v="163"/>
    <x v="3"/>
    <n v="9.4106871276809973E-4"/>
    <n v="0.1111111111111111"/>
    <s v="&gt;5M"/>
  </r>
  <r>
    <s v="C157"/>
    <s v="Customer_157"/>
    <s v="INV75325"/>
    <d v="2025-10-15T00:00:00"/>
    <d v="2026-02-24T00:00:00"/>
    <n v="4728030"/>
    <s v="Distributor"/>
    <x v="1"/>
    <s v="Product Type 2"/>
    <n v="42552270"/>
    <n v="4"/>
    <x v="4"/>
    <n v="7.5833063439725108E-4"/>
    <n v="0.1111111111111111"/>
    <s v="2M-5M"/>
  </r>
  <r>
    <s v="C041"/>
    <s v="Customer_041"/>
    <s v="INV47005"/>
    <d v="2025-06-02T00:00:00"/>
    <d v="2026-04-06T00:00:00"/>
    <n v="2100648"/>
    <s v="Retailer"/>
    <x v="3"/>
    <s v="Product Type 3"/>
    <n v="10503240"/>
    <n v="0"/>
    <x v="0"/>
    <n v="3.3692377808205884E-4"/>
    <n v="0.2"/>
    <s v="2M-5M"/>
  </r>
  <r>
    <s v="C155"/>
    <s v="Customer_155"/>
    <s v="INV46257"/>
    <d v="2025-07-16T00:00:00"/>
    <d v="2025-09-19T00:00:00"/>
    <n v="1087985"/>
    <s v="Distributor"/>
    <x v="4"/>
    <s v="Product Type 1"/>
    <n v="2175970"/>
    <n v="162"/>
    <x v="3"/>
    <n v="1.7450235198691489E-4"/>
    <n v="0.5"/>
    <s v="500K-2M"/>
  </r>
  <r>
    <s v="C023"/>
    <s v="Customer_023"/>
    <s v="INV28556"/>
    <d v="2025-03-14T00:00:00"/>
    <d v="2025-12-15T00:00:00"/>
    <n v="2208844"/>
    <s v="Retailer"/>
    <x v="3"/>
    <s v="Product Type 6"/>
    <n v="13253064"/>
    <n v="75"/>
    <x v="2"/>
    <n v="3.542773780632868E-4"/>
    <n v="0.16666666666666666"/>
    <s v="2M-5M"/>
  </r>
  <r>
    <s v="C111"/>
    <s v="Customer_111"/>
    <s v="INV71416"/>
    <d v="2025-11-24T00:00:00"/>
    <d v="2026-03-17T00:00:00"/>
    <n v="4160598"/>
    <s v="Retailer"/>
    <x v="4"/>
    <s v="Product Type 6"/>
    <n v="33284784"/>
    <n v="0"/>
    <x v="0"/>
    <n v="6.6731998756605485E-4"/>
    <n v="0.125"/>
    <s v="2M-5M"/>
  </r>
  <r>
    <s v="C144"/>
    <s v="Customer_144"/>
    <s v="INV50913"/>
    <d v="2025-12-03T00:00:00"/>
    <d v="2025-12-23T00:00:00"/>
    <n v="7487513"/>
    <s v="Distributor"/>
    <x v="5"/>
    <s v="Product Type 4"/>
    <n v="52412591"/>
    <n v="67"/>
    <x v="2"/>
    <n v="1.2009252232637409E-3"/>
    <n v="0.14285714285714285"/>
    <s v="&gt;5M"/>
  </r>
  <r>
    <s v="C160"/>
    <s v="Customer_160"/>
    <s v="INV68506"/>
    <d v="2025-12-19T00:00:00"/>
    <d v="2026-04-01T00:00:00"/>
    <n v="3155837"/>
    <s v="Distributor"/>
    <x v="0"/>
    <s v="Product Type 5"/>
    <n v="22090859"/>
    <n v="0"/>
    <x v="0"/>
    <n v="5.0616596643090627E-4"/>
    <n v="0.14285714285714285"/>
    <s v="2M-5M"/>
  </r>
  <r>
    <s v="C200"/>
    <s v="Customer_200"/>
    <s v="INV88749"/>
    <d v="2025-05-14T00:00:00"/>
    <d v="2026-02-15T00:00:00"/>
    <n v="6250923"/>
    <s v="Distributor"/>
    <x v="1"/>
    <s v="Product Type 6"/>
    <n v="37505538"/>
    <n v="13"/>
    <x v="4"/>
    <n v="1.0025880555238373E-3"/>
    <n v="0.16666666666666666"/>
    <s v="&gt;5M"/>
  </r>
  <r>
    <s v="C013"/>
    <s v="Customer_013"/>
    <s v="INV13480"/>
    <d v="2025-11-17T00:00:00"/>
    <d v="2026-03-02T00:00:00"/>
    <n v="3825095"/>
    <s v="Distributor"/>
    <x v="3"/>
    <s v="Product Type 2"/>
    <n v="11475285"/>
    <n v="0"/>
    <x v="0"/>
    <n v="6.1350852637985661E-4"/>
    <n v="0.33333333333333331"/>
    <s v="2M-5M"/>
  </r>
  <r>
    <s v="C143"/>
    <s v="Customer_143"/>
    <s v="INV58790"/>
    <d v="2025-08-09T00:00:00"/>
    <d v="2025-12-12T00:00:00"/>
    <n v="5193642"/>
    <s v="Retailer"/>
    <x v="1"/>
    <s v="Product Type 4"/>
    <n v="15580926"/>
    <n v="78"/>
    <x v="2"/>
    <n v="8.3301033045310793E-4"/>
    <n v="0.33333333333333331"/>
    <s v="&gt;5M"/>
  </r>
  <r>
    <s v="C161"/>
    <s v="Customer_161"/>
    <s v="INV81615"/>
    <d v="2025-12-28T00:00:00"/>
    <d v="2026-03-29T00:00:00"/>
    <n v="2522156"/>
    <s v="Distributor"/>
    <x v="3"/>
    <s v="Product Type 1"/>
    <n v="17655092"/>
    <n v="0"/>
    <x v="0"/>
    <n v="4.0452961582917904E-4"/>
    <n v="0.14285714285714285"/>
    <s v="2M-5M"/>
  </r>
  <r>
    <s v="C064"/>
    <s v="Customer_064"/>
    <s v="INV44722"/>
    <d v="2025-08-17T00:00:00"/>
    <d v="2025-10-04T00:00:00"/>
    <n v="2425103"/>
    <s v="Retailer"/>
    <x v="4"/>
    <s v="Product Type 5"/>
    <n v="7275309"/>
    <n v="147"/>
    <x v="3"/>
    <n v="3.8896324610221953E-4"/>
    <n v="0.33333333333333331"/>
    <s v="2M-5M"/>
  </r>
  <r>
    <s v="C070"/>
    <s v="Customer_070"/>
    <s v="INV37628"/>
    <d v="2025-05-10T00:00:00"/>
    <d v="2026-04-19T00:00:00"/>
    <n v="7826096"/>
    <s v="Distributor"/>
    <x v="5"/>
    <s v="Product Type 5"/>
    <n v="15652192"/>
    <n v="0"/>
    <x v="0"/>
    <n v="1.255230686889421E-3"/>
    <n v="0.5"/>
    <s v="&gt;5M"/>
  </r>
  <r>
    <s v="C113"/>
    <s v="Customer_113"/>
    <s v="INV95023"/>
    <d v="2025-05-22T00:00:00"/>
    <d v="2025-12-06T00:00:00"/>
    <n v="2950992"/>
    <s v="Retailer"/>
    <x v="1"/>
    <s v="Product Type 3"/>
    <n v="11803968"/>
    <n v="84"/>
    <x v="2"/>
    <n v="4.7331079444530024E-4"/>
    <n v="0.25"/>
    <s v="2M-5M"/>
  </r>
  <r>
    <s v="C124"/>
    <s v="Customer_124"/>
    <s v="INV43952"/>
    <d v="2025-05-17T00:00:00"/>
    <d v="2026-01-28T00:00:00"/>
    <n v="850638"/>
    <s v="Distributor"/>
    <x v="4"/>
    <s v="Product Type 3"/>
    <n v="4253190"/>
    <n v="31"/>
    <x v="1"/>
    <n v="1.3643417114155555E-4"/>
    <n v="0.2"/>
    <s v="500K-2M"/>
  </r>
  <r>
    <s v="C089"/>
    <s v="Customer_089"/>
    <s v="INV98025"/>
    <d v="2025-03-10T00:00:00"/>
    <d v="2025-11-14T00:00:00"/>
    <n v="5431050"/>
    <s v="Export"/>
    <x v="4"/>
    <s v="Product Type 1"/>
    <n v="38017350"/>
    <n v="106"/>
    <x v="3"/>
    <n v="8.7108829511301552E-4"/>
    <n v="0.14285714285714285"/>
    <s v="&gt;5M"/>
  </r>
  <r>
    <s v="C127"/>
    <s v="Customer_127"/>
    <s v="INV85119"/>
    <d v="2025-10-14T00:00:00"/>
    <d v="2025-10-31T00:00:00"/>
    <n v="7035790"/>
    <s v="Distributor"/>
    <x v="3"/>
    <s v="Product Type 1"/>
    <n v="56286320"/>
    <n v="120"/>
    <x v="3"/>
    <n v="1.1284731895072229E-3"/>
    <n v="0.125"/>
    <s v="&gt;5M"/>
  </r>
  <r>
    <s v="C028"/>
    <s v="Customer_028"/>
    <s v="INV29089"/>
    <d v="2025-07-04T00:00:00"/>
    <d v="2025-09-28T00:00:00"/>
    <n v="5164112"/>
    <s v="Distributor"/>
    <x v="4"/>
    <s v="Product Type 4"/>
    <n v="15492336"/>
    <n v="153"/>
    <x v="3"/>
    <n v="8.2827400186937417E-4"/>
    <n v="0.33333333333333331"/>
    <s v="&gt;5M"/>
  </r>
  <r>
    <s v="C006"/>
    <s v="Customer_006"/>
    <s v="INV88363"/>
    <d v="2025-11-30T00:00:00"/>
    <d v="2025-12-24T00:00:00"/>
    <n v="6859491"/>
    <s v="Distributor"/>
    <x v="3"/>
    <s v="Product Type 1"/>
    <n v="34297455"/>
    <n v="66"/>
    <x v="2"/>
    <n v="1.1001965219493604E-3"/>
    <n v="0.2"/>
    <s v="&gt;5M"/>
  </r>
  <r>
    <s v="C031"/>
    <s v="Customer_031"/>
    <s v="INV75557"/>
    <d v="2026-01-14T00:00:00"/>
    <d v="2025-10-21T00:00:00"/>
    <n v="3027726"/>
    <s v="Distributor"/>
    <x v="5"/>
    <s v="Product Type 3"/>
    <n v="21194082"/>
    <n v="130"/>
    <x v="3"/>
    <n v="4.8561819158530117E-4"/>
    <n v="0.14285714285714285"/>
    <s v="2M-5M"/>
  </r>
  <r>
    <s v="C059"/>
    <s v="Customer_059"/>
    <s v="INV60124"/>
    <d v="2025-08-15T00:00:00"/>
    <d v="2025-11-01T00:00:00"/>
    <n v="6355267"/>
    <s v="Distributor"/>
    <x v="3"/>
    <s v="Product Type 1"/>
    <n v="44486869"/>
    <n v="119"/>
    <x v="3"/>
    <n v="1.0193238316749079E-3"/>
    <n v="0.14285714285714285"/>
    <s v="&gt;5M"/>
  </r>
  <r>
    <s v="C151"/>
    <s v="Customer_151"/>
    <s v="INV14314"/>
    <d v="2025-10-01T00:00:00"/>
    <d v="2025-10-15T00:00:00"/>
    <n v="7948207"/>
    <s v="Distributor"/>
    <x v="1"/>
    <s v="Product Type 2"/>
    <n v="15896414"/>
    <n v="136"/>
    <x v="3"/>
    <n v="1.2748161193204511E-3"/>
    <n v="0.5"/>
    <s v="&gt;5M"/>
  </r>
  <r>
    <s v="C152"/>
    <s v="Customer_152"/>
    <s v="INV69267"/>
    <d v="2025-09-21T00:00:00"/>
    <d v="2025-10-26T00:00:00"/>
    <n v="3301635"/>
    <s v="Distributor"/>
    <x v="1"/>
    <s v="Product Type 1"/>
    <n v="6603270"/>
    <n v="125"/>
    <x v="3"/>
    <n v="5.2955056632427637E-4"/>
    <n v="0.5"/>
    <s v="2M-5M"/>
  </r>
  <r>
    <s v="C074"/>
    <s v="Customer_074"/>
    <s v="INV73674"/>
    <d v="2025-09-03T00:00:00"/>
    <d v="2026-03-17T00:00:00"/>
    <n v="1462055"/>
    <s v="Retailer"/>
    <x v="3"/>
    <s v="Product Type 1"/>
    <n v="14620550"/>
    <n v="0"/>
    <x v="0"/>
    <n v="2.3449958982359946E-4"/>
    <n v="0.1"/>
    <s v="500K-2M"/>
  </r>
  <r>
    <s v="C102"/>
    <s v="Customer_102"/>
    <s v="INV47294"/>
    <d v="2025-12-02T00:00:00"/>
    <d v="2026-02-11T00:00:00"/>
    <n v="7238413"/>
    <s v="Export"/>
    <x v="4"/>
    <s v="Product Type 5"/>
    <n v="14476826"/>
    <n v="17"/>
    <x v="4"/>
    <n v="1.1609719740186314E-3"/>
    <n v="0.5"/>
    <s v="&gt;5M"/>
  </r>
  <r>
    <s v="C067"/>
    <s v="Customer_067"/>
    <s v="INV73116"/>
    <d v="2026-01-11T00:00:00"/>
    <d v="2025-10-29T00:00:00"/>
    <n v="2664953"/>
    <s v="Retailer"/>
    <x v="2"/>
    <s v="Product Type 2"/>
    <n v="26649530"/>
    <n v="122"/>
    <x v="3"/>
    <n v="4.274328841248591E-4"/>
    <n v="0.1"/>
    <s v="2M-5M"/>
  </r>
  <r>
    <s v="C197"/>
    <s v="Customer_197"/>
    <s v="INV75162"/>
    <d v="2025-12-29T00:00:00"/>
    <d v="2025-11-24T00:00:00"/>
    <n v="5075914"/>
    <s v="Distributor"/>
    <x v="1"/>
    <s v="Product Type 3"/>
    <n v="45683226"/>
    <n v="96"/>
    <x v="3"/>
    <n v="8.141278891559251E-4"/>
    <n v="0.1111111111111111"/>
    <s v="&gt;5M"/>
  </r>
  <r>
    <s v="C053"/>
    <s v="Customer_053"/>
    <s v="INV86109"/>
    <d v="2025-11-24T00:00:00"/>
    <d v="2026-03-17T00:00:00"/>
    <n v="2133419"/>
    <s v="Retailer"/>
    <x v="0"/>
    <s v="Product Type 1"/>
    <n v="8533676"/>
    <n v="0"/>
    <x v="0"/>
    <n v="3.4217993196006562E-4"/>
    <n v="0.25"/>
    <s v="2M-5M"/>
  </r>
  <r>
    <s v="C088"/>
    <s v="Customer_088"/>
    <s v="INV47293"/>
    <d v="2025-03-31T00:00:00"/>
    <d v="2025-11-27T00:00:00"/>
    <n v="3018647"/>
    <s v="Distributor"/>
    <x v="3"/>
    <s v="Product Type 1"/>
    <n v="12074588"/>
    <n v="93"/>
    <x v="3"/>
    <n v="4.8416200712164665E-4"/>
    <n v="0.25"/>
    <s v="2M-5M"/>
  </r>
  <r>
    <s v="C035"/>
    <s v="Customer_035"/>
    <s v="INV41072"/>
    <d v="2025-07-10T00:00:00"/>
    <d v="2026-02-05T00:00:00"/>
    <n v="4613386"/>
    <s v="Retailer"/>
    <x v="2"/>
    <s v="Product Type 2"/>
    <n v="36907088"/>
    <n v="23"/>
    <x v="4"/>
    <n v="7.3994283710115982E-4"/>
    <n v="0.125"/>
    <s v="2M-5M"/>
  </r>
  <r>
    <s v="C088"/>
    <s v="Customer_088"/>
    <s v="INV35854"/>
    <d v="2025-03-24T00:00:00"/>
    <d v="2025-09-22T00:00:00"/>
    <n v="634859"/>
    <s v="Retailer"/>
    <x v="2"/>
    <s v="Product Type 3"/>
    <n v="1269718"/>
    <n v="159"/>
    <x v="3"/>
    <n v="1.0182529049578882E-4"/>
    <n v="0.5"/>
    <s v="500K-2M"/>
  </r>
  <r>
    <s v="C009"/>
    <s v="Customer_009"/>
    <s v="INV52324"/>
    <d v="2025-04-26T00:00:00"/>
    <d v="2025-10-08T00:00:00"/>
    <n v="6542011"/>
    <s v="Distributor"/>
    <x v="2"/>
    <s v="Product Type 3"/>
    <n v="52336088"/>
    <n v="143"/>
    <x v="3"/>
    <n v="1.0492757769861433E-3"/>
    <n v="0.125"/>
    <s v="&gt;5M"/>
  </r>
  <r>
    <s v="C195"/>
    <s v="Customer_195"/>
    <s v="INV29627"/>
    <d v="2025-07-30T00:00:00"/>
    <d v="2025-09-09T00:00:00"/>
    <n v="7687813"/>
    <s v="Distributor"/>
    <x v="5"/>
    <s v="Product Type 4"/>
    <n v="30751252"/>
    <n v="172"/>
    <x v="3"/>
    <n v="1.2330514208703063E-3"/>
    <n v="0.25"/>
    <s v="&gt;5M"/>
  </r>
  <r>
    <s v="C004"/>
    <s v="Customer_004"/>
    <s v="INV62492"/>
    <d v="2025-03-03T00:00:00"/>
    <d v="2025-10-04T00:00:00"/>
    <n v="205702"/>
    <s v="Retailer"/>
    <x v="5"/>
    <s v="Product Type 3"/>
    <n v="617106"/>
    <n v="147"/>
    <x v="3"/>
    <n v="3.2992626560487845E-5"/>
    <n v="0.33333333333333331"/>
    <s v="&lt;500K"/>
  </r>
  <r>
    <s v="C094"/>
    <s v="Customer_094"/>
    <s v="INV36434"/>
    <d v="2025-12-06T00:00:00"/>
    <d v="2025-10-23T00:00:00"/>
    <n v="6945880"/>
    <s v="Distributor"/>
    <x v="4"/>
    <s v="Product Type 6"/>
    <n v="69458800"/>
    <n v="128"/>
    <x v="3"/>
    <n v="1.1140524884248151E-3"/>
    <n v="0.1"/>
    <s v="&gt;5M"/>
  </r>
  <r>
    <s v="C098"/>
    <s v="Customer_098"/>
    <s v="INV61173"/>
    <d v="2025-12-30T00:00:00"/>
    <d v="2025-12-25T00:00:00"/>
    <n v="2999847"/>
    <s v="Retailer"/>
    <x v="2"/>
    <s v="Product Type 5"/>
    <n v="20998929"/>
    <n v="65"/>
    <x v="2"/>
    <n v="4.81146667555978E-4"/>
    <n v="0.14285714285714285"/>
    <s v="2M-5M"/>
  </r>
  <r>
    <s v="C078"/>
    <s v="Customer_078"/>
    <s v="INV96812"/>
    <d v="2025-08-27T00:00:00"/>
    <d v="2025-12-30T00:00:00"/>
    <n v="2244560"/>
    <s v="Retailer"/>
    <x v="1"/>
    <s v="Product Type 6"/>
    <n v="4489120"/>
    <n v="60"/>
    <x v="1"/>
    <n v="3.600058816764475E-4"/>
    <n v="0.5"/>
    <s v="2M-5M"/>
  </r>
  <r>
    <s v="C152"/>
    <s v="Customer_152"/>
    <s v="INV77417"/>
    <d v="2025-08-28T00:00:00"/>
    <d v="2026-02-17T00:00:00"/>
    <n v="7846502"/>
    <s v="Distributor"/>
    <x v="5"/>
    <s v="Product Type 5"/>
    <n v="31386008"/>
    <n v="11"/>
    <x v="4"/>
    <n v="1.258503613441391E-3"/>
    <n v="0.25"/>
    <s v="&gt;5M"/>
  </r>
  <r>
    <s v="C029"/>
    <s v="Customer_029"/>
    <s v="INV92401"/>
    <d v="2025-03-27T00:00:00"/>
    <d v="2025-10-30T00:00:00"/>
    <n v="1624388"/>
    <s v="Retailer"/>
    <x v="5"/>
    <s v="Product Type 4"/>
    <n v="3248776"/>
    <n v="121"/>
    <x v="3"/>
    <n v="2.6053624502113604E-4"/>
    <n v="0.5"/>
    <s v="500K-2M"/>
  </r>
  <r>
    <s v="C195"/>
    <s v="Customer_195"/>
    <s v="INV89602"/>
    <d v="2025-05-28T00:00:00"/>
    <d v="2025-11-09T00:00:00"/>
    <n v="1335093"/>
    <s v="Distributor"/>
    <x v="1"/>
    <s v="Product Type 4"/>
    <n v="10680744"/>
    <n v="111"/>
    <x v="3"/>
    <n v="2.1413610355038549E-4"/>
    <n v="0.125"/>
    <s v="500K-2M"/>
  </r>
  <r>
    <s v="C137"/>
    <s v="Customer_137"/>
    <s v="INV30894"/>
    <d v="2025-12-24T00:00:00"/>
    <d v="2025-09-17T00:00:00"/>
    <n v="3404320"/>
    <s v="Retailer"/>
    <x v="2"/>
    <s v="Product Type 5"/>
    <n v="13617280"/>
    <n v="164"/>
    <x v="3"/>
    <n v="5.4602025479771703E-4"/>
    <n v="0.25"/>
    <s v="2M-5M"/>
  </r>
  <r>
    <s v="C009"/>
    <s v="Customer_009"/>
    <s v="INV44400"/>
    <d v="2025-11-05T00:00:00"/>
    <d v="2025-09-12T00:00:00"/>
    <n v="6191230"/>
    <s v="Distributor"/>
    <x v="1"/>
    <s v="Product Type 3"/>
    <n v="30956150"/>
    <n v="169"/>
    <x v="3"/>
    <n v="9.9301387123163203E-4"/>
    <n v="0.2"/>
    <s v="&gt;5M"/>
  </r>
  <r>
    <s v="C128"/>
    <s v="Customer_128"/>
    <s v="INV10877"/>
    <d v="2025-04-04T00:00:00"/>
    <d v="2025-12-02T00:00:00"/>
    <n v="2139789"/>
    <s v="Distributor"/>
    <x v="0"/>
    <s v="Product Type 3"/>
    <n v="10698945"/>
    <n v="88"/>
    <x v="2"/>
    <n v="3.4320161882353951E-4"/>
    <n v="0.2"/>
    <s v="2M-5M"/>
  </r>
  <r>
    <s v="C128"/>
    <s v="Customer_128"/>
    <s v="INV46509"/>
    <d v="2025-03-13T00:00:00"/>
    <d v="2026-03-20T00:00:00"/>
    <n v="2365040"/>
    <s v="Retailer"/>
    <x v="5"/>
    <s v="Product Type 4"/>
    <n v="4730080"/>
    <n v="0"/>
    <x v="0"/>
    <n v="3.7932971736111547E-4"/>
    <n v="0.5"/>
    <s v="2M-5M"/>
  </r>
  <r>
    <s v="C075"/>
    <s v="Customer_075"/>
    <s v="INV90781"/>
    <d v="2025-03-20T00:00:00"/>
    <d v="2026-02-03T00:00:00"/>
    <n v="3853554"/>
    <s v="Export"/>
    <x v="3"/>
    <s v="Product Type 5"/>
    <n v="23121324"/>
    <n v="25"/>
    <x v="4"/>
    <n v="6.1807307684258873E-4"/>
    <n v="0.16666666666666666"/>
    <s v="2M-5M"/>
  </r>
  <r>
    <s v="C105"/>
    <s v="Customer_105"/>
    <s v="INV52571"/>
    <d v="2025-11-12T00:00:00"/>
    <d v="2026-02-27T00:00:00"/>
    <n v="5646792"/>
    <s v="Distributor"/>
    <x v="5"/>
    <s v="Product Type 2"/>
    <n v="50821128"/>
    <n v="1"/>
    <x v="4"/>
    <n v="9.056912413138924E-4"/>
    <n v="0.1111111111111111"/>
    <s v="&gt;5M"/>
  </r>
  <r>
    <s v="C127"/>
    <s v="Customer_127"/>
    <s v="INV75873"/>
    <d v="2026-01-01T00:00:00"/>
    <d v="2025-11-27T00:00:00"/>
    <n v="5130814"/>
    <s v="Distributor"/>
    <x v="2"/>
    <s v="Product Type 5"/>
    <n v="15392442"/>
    <n v="93"/>
    <x v="3"/>
    <n v="8.2293332224928724E-4"/>
    <n v="0.33333333333333331"/>
    <s v="&gt;5M"/>
  </r>
  <r>
    <s v="C017"/>
    <s v="Customer_017"/>
    <s v="INV77881"/>
    <d v="2025-06-20T00:00:00"/>
    <d v="2026-03-18T00:00:00"/>
    <n v="1123137"/>
    <s v="Distributor"/>
    <x v="3"/>
    <s v="Product Type 3"/>
    <n v="3369411"/>
    <n v="0"/>
    <x v="0"/>
    <n v="1.8014039541310554E-4"/>
    <n v="0.33333333333333331"/>
    <s v="500K-2M"/>
  </r>
  <r>
    <s v="C010"/>
    <s v="Customer_010"/>
    <s v="INV75632"/>
    <d v="2025-04-09T00:00:00"/>
    <d v="2026-02-04T00:00:00"/>
    <n v="235948"/>
    <s v="Distributor"/>
    <x v="3"/>
    <s v="Product Type 6"/>
    <n v="2359480"/>
    <n v="24"/>
    <x v="4"/>
    <n v="3.7843794672360918E-5"/>
    <n v="0.1"/>
    <s v="&lt;500K"/>
  </r>
  <r>
    <s v="C021"/>
    <s v="Customer_021"/>
    <s v="INV26693"/>
    <d v="2025-04-26T00:00:00"/>
    <d v="2025-12-30T00:00:00"/>
    <n v="7915744"/>
    <s v="Export"/>
    <x v="4"/>
    <s v="Product Type 6"/>
    <n v="31662976"/>
    <n v="60"/>
    <x v="1"/>
    <n v="1.2696093656863925E-3"/>
    <n v="0.25"/>
    <s v="&gt;5M"/>
  </r>
  <r>
    <s v="C065"/>
    <s v="Customer_065"/>
    <s v="INV85469"/>
    <d v="2025-11-26T00:00:00"/>
    <d v="2025-11-19T00:00:00"/>
    <n v="171173"/>
    <s v="Retailer"/>
    <x v="4"/>
    <s v="Product Type 2"/>
    <n v="342346"/>
    <n v="101"/>
    <x v="3"/>
    <n v="2.7454506355010579E-5"/>
    <n v="0.5"/>
    <s v="&lt;500K"/>
  </r>
  <r>
    <s v="C187"/>
    <s v="Customer_187"/>
    <s v="INV25533"/>
    <d v="2025-06-30T00:00:00"/>
    <d v="2025-09-23T00:00:00"/>
    <n v="6530464"/>
    <s v="Distributor"/>
    <x v="3"/>
    <s v="Product Type 6"/>
    <n v="32652320"/>
    <n v="158"/>
    <x v="3"/>
    <n v="1.0474237490092936E-3"/>
    <n v="0.2"/>
    <s v="&gt;5M"/>
  </r>
  <r>
    <s v="C018"/>
    <s v="Customer_018"/>
    <s v="INV66712"/>
    <d v="2025-08-17T00:00:00"/>
    <d v="2025-12-11T00:00:00"/>
    <n v="309660"/>
    <s v="Distributor"/>
    <x v="4"/>
    <s v="Product Type 4"/>
    <n v="619320"/>
    <n v="79"/>
    <x v="2"/>
    <n v="4.9666492016220872E-5"/>
    <n v="0.5"/>
    <s v="&lt;500K"/>
  </r>
  <r>
    <s v="C022"/>
    <s v="Customer_022"/>
    <s v="INV36789"/>
    <d v="2025-07-23T00:00:00"/>
    <d v="2026-04-15T00:00:00"/>
    <n v="7939224"/>
    <s v="Retailer"/>
    <x v="1"/>
    <s v="Product Type 2"/>
    <n v="39696120"/>
    <n v="0"/>
    <x v="0"/>
    <n v="1.2733753323354298E-3"/>
    <n v="0.2"/>
    <s v="&gt;5M"/>
  </r>
  <r>
    <s v="C026"/>
    <s v="Customer_026"/>
    <s v="INV45841"/>
    <d v="2025-05-02T00:00:00"/>
    <d v="2025-09-28T00:00:00"/>
    <n v="4614196"/>
    <s v="Retailer"/>
    <x v="3"/>
    <s v="Product Type 5"/>
    <n v="41527764"/>
    <n v="153"/>
    <x v="3"/>
    <n v="7.400727533271275E-4"/>
    <n v="0.1111111111111111"/>
    <s v="2M-5M"/>
  </r>
  <r>
    <s v="C177"/>
    <s v="Customer_177"/>
    <s v="INV64606"/>
    <d v="2026-01-05T00:00:00"/>
    <d v="2025-11-12T00:00:00"/>
    <n v="299150"/>
    <s v="Distributor"/>
    <x v="1"/>
    <s v="Product Type 6"/>
    <n v="598300"/>
    <n v="108"/>
    <x v="3"/>
    <n v="4.7980788886690156E-5"/>
    <n v="0.5"/>
    <s v="&lt;500K"/>
  </r>
  <r>
    <s v="C134"/>
    <s v="Customer_134"/>
    <s v="INV35274"/>
    <d v="2025-11-23T00:00:00"/>
    <d v="2025-11-07T00:00:00"/>
    <n v="7420739"/>
    <s v="Distributor"/>
    <x v="4"/>
    <s v="Product Type 3"/>
    <n v="22262217"/>
    <n v="113"/>
    <x v="3"/>
    <n v="1.1902153145319347E-3"/>
    <n v="0.33333333333333331"/>
    <s v="&gt;5M"/>
  </r>
  <r>
    <s v="C195"/>
    <s v="Customer_195"/>
    <s v="INV76056"/>
    <d v="2025-10-21T00:00:00"/>
    <d v="2026-03-16T00:00:00"/>
    <n v="4074487"/>
    <s v="Distributor"/>
    <x v="0"/>
    <s v="Product Type 5"/>
    <n v="40744870"/>
    <n v="0"/>
    <x v="0"/>
    <n v="6.5350860962247546E-4"/>
    <n v="0.1"/>
    <s v="2M-5M"/>
  </r>
  <r>
    <s v="C040"/>
    <s v="Customer_040"/>
    <s v="INV36247"/>
    <d v="2026-01-15T00:00:00"/>
    <d v="2026-01-21T00:00:00"/>
    <n v="3096484"/>
    <s v="Retailer"/>
    <x v="2"/>
    <s v="Product Type 4"/>
    <n v="30964840"/>
    <n v="38"/>
    <x v="1"/>
    <n v="4.9664631487552691E-4"/>
    <n v="0.1"/>
    <s v="2M-5M"/>
  </r>
  <r>
    <s v="C003"/>
    <s v="Customer_003"/>
    <s v="INV23471"/>
    <d v="2025-05-13T00:00:00"/>
    <d v="2025-12-19T00:00:00"/>
    <n v="4275282"/>
    <s v="Retailer"/>
    <x v="4"/>
    <s v="Product Type 2"/>
    <n v="38477538"/>
    <n v="71"/>
    <x v="2"/>
    <n v="6.857142004782433E-4"/>
    <n v="0.1111111111111111"/>
    <s v="2M-5M"/>
  </r>
  <r>
    <s v="C017"/>
    <s v="Customer_017"/>
    <s v="INV31567"/>
    <d v="2025-05-02T00:00:00"/>
    <d v="2025-10-29T00:00:00"/>
    <n v="6543835"/>
    <s v="Distributor"/>
    <x v="2"/>
    <s v="Product Type 3"/>
    <n v="45806845"/>
    <n v="122"/>
    <x v="3"/>
    <n v="1.0495683290801742E-3"/>
    <n v="0.14285714285714285"/>
    <s v="&gt;5M"/>
  </r>
  <r>
    <s v="C040"/>
    <s v="Customer_040"/>
    <s v="INV21611"/>
    <d v="2025-08-31T00:00:00"/>
    <d v="2025-09-19T00:00:00"/>
    <n v="6529021"/>
    <s v="Retailer"/>
    <x v="3"/>
    <s v="Product Type 1"/>
    <n v="13058042"/>
    <n v="162"/>
    <x v="3"/>
    <n v="1.0471923056585882E-3"/>
    <n v="0.5"/>
    <s v="&gt;5M"/>
  </r>
  <r>
    <s v="C016"/>
    <s v="Customer_016"/>
    <s v="INV39963"/>
    <d v="2025-12-01T00:00:00"/>
    <d v="2026-03-13T00:00:00"/>
    <n v="6298411"/>
    <s v="Export"/>
    <x v="5"/>
    <s v="Product Type 2"/>
    <n v="62984110"/>
    <n v="0"/>
    <x v="0"/>
    <n v="1.0102046749543942E-3"/>
    <n v="0.1"/>
    <s v="&gt;5M"/>
  </r>
  <r>
    <s v="C039"/>
    <s v="Customer_039"/>
    <s v="INV59501"/>
    <d v="2025-03-30T00:00:00"/>
    <d v="2025-09-22T00:00:00"/>
    <n v="5256173"/>
    <s v="Distributor"/>
    <x v="3"/>
    <s v="Product Type 3"/>
    <n v="10512346"/>
    <n v="159"/>
    <x v="3"/>
    <n v="8.430397027074072E-4"/>
    <n v="0.5"/>
    <s v="&gt;5M"/>
  </r>
  <r>
    <s v="C042"/>
    <s v="Customer_042"/>
    <s v="INV17816"/>
    <d v="2026-01-08T00:00:00"/>
    <d v="2025-10-20T00:00:00"/>
    <n v="3087591"/>
    <s v="Distributor"/>
    <x v="5"/>
    <s v="Product Type 1"/>
    <n v="30875910"/>
    <n v="131"/>
    <x v="3"/>
    <n v="4.9521996302672421E-4"/>
    <n v="0.1"/>
    <s v="2M-5M"/>
  </r>
  <r>
    <s v="C036"/>
    <s v="Customer_036"/>
    <s v="INV41099"/>
    <d v="2025-03-22T00:00:00"/>
    <d v="2025-12-30T00:00:00"/>
    <n v="1836032"/>
    <s v="Retailer"/>
    <x v="5"/>
    <s v="Product Type 6"/>
    <n v="14688256"/>
    <n v="60"/>
    <x v="1"/>
    <n v="2.9448191135285812E-4"/>
    <n v="0.125"/>
    <s v="500K-2M"/>
  </r>
  <r>
    <s v="C044"/>
    <s v="Customer_044"/>
    <s v="INV36065"/>
    <d v="2025-09-03T00:00:00"/>
    <d v="2026-04-06T00:00:00"/>
    <n v="3987991"/>
    <s v="Export"/>
    <x v="3"/>
    <s v="Product Type 4"/>
    <n v="15951964"/>
    <n v="0"/>
    <x v="0"/>
    <n v="6.3963548137396082E-4"/>
    <n v="0.25"/>
    <s v="2M-5M"/>
  </r>
  <r>
    <s v="C150"/>
    <s v="Customer_150"/>
    <s v="INV93911"/>
    <d v="2025-12-06T00:00:00"/>
    <d v="2025-12-12T00:00:00"/>
    <n v="5235508"/>
    <s v="Retailer"/>
    <x v="0"/>
    <s v="Product Type 4"/>
    <n v="41884064"/>
    <n v="78"/>
    <x v="2"/>
    <n v="8.3972523504120822E-4"/>
    <n v="0.125"/>
    <s v="&gt;5M"/>
  </r>
  <r>
    <s v="C011"/>
    <s v="Customer_011"/>
    <s v="INV16243"/>
    <d v="2025-04-20T00:00:00"/>
    <d v="2026-03-20T00:00:00"/>
    <n v="7044008"/>
    <s v="Distributor"/>
    <x v="5"/>
    <s v="Product Type 4"/>
    <n v="49308056"/>
    <n v="0"/>
    <x v="0"/>
    <n v="1.1297912778343859E-3"/>
    <n v="0.14285714285714285"/>
    <s v="&gt;5M"/>
  </r>
  <r>
    <s v="C112"/>
    <s v="Customer_112"/>
    <s v="INV45781"/>
    <d v="2025-07-11T00:00:00"/>
    <d v="2025-09-13T00:00:00"/>
    <n v="238701"/>
    <s v="Distributor"/>
    <x v="5"/>
    <s v="Product Type 4"/>
    <n v="2148309"/>
    <n v="168"/>
    <x v="3"/>
    <n v="3.8285349450248466E-5"/>
    <n v="0.1111111111111111"/>
    <s v="&lt;500K"/>
  </r>
  <r>
    <s v="C117"/>
    <s v="Customer_117"/>
    <s v="INV85738"/>
    <d v="2025-04-08T00:00:00"/>
    <d v="2025-09-03T00:00:00"/>
    <n v="544056"/>
    <s v="Distributor"/>
    <x v="1"/>
    <s v="Product Type 4"/>
    <n v="1632168"/>
    <n v="178"/>
    <x v="3"/>
    <n v="8.7261360784011705E-5"/>
    <n v="0.33333333333333331"/>
    <s v="500K-2M"/>
  </r>
  <r>
    <s v="C047"/>
    <s v="Customer_047"/>
    <s v="INV17981"/>
    <d v="2025-05-14T00:00:00"/>
    <d v="2026-01-28T00:00:00"/>
    <n v="7232753"/>
    <s v="Distributor"/>
    <x v="5"/>
    <s v="Product Type 1"/>
    <n v="65094777"/>
    <n v="31"/>
    <x v="1"/>
    <n v="1.1600641643408822E-3"/>
    <n v="0.1111111111111111"/>
    <s v="&gt;5M"/>
  </r>
  <r>
    <s v="C102"/>
    <s v="Customer_102"/>
    <s v="INV66460"/>
    <d v="2025-10-17T00:00:00"/>
    <d v="2025-09-17T00:00:00"/>
    <n v="3273712"/>
    <s v="Retailer"/>
    <x v="5"/>
    <s v="Product Type 3"/>
    <n v="13094848"/>
    <n v="164"/>
    <x v="3"/>
    <n v="5.2507198511724624E-4"/>
    <n v="0.25"/>
    <s v="2M-5M"/>
  </r>
  <r>
    <s v="C108"/>
    <s v="Customer_108"/>
    <s v="INV10250"/>
    <d v="2025-05-10T00:00:00"/>
    <d v="2025-09-29T00:00:00"/>
    <n v="2398413"/>
    <s v="Distributor"/>
    <x v="0"/>
    <s v="Product Type 6"/>
    <n v="21585717"/>
    <n v="152"/>
    <x v="3"/>
    <n v="3.846824262613846E-4"/>
    <n v="0.1111111111111111"/>
    <s v="2M-5M"/>
  </r>
  <r>
    <s v="C086"/>
    <s v="Customer_086"/>
    <s v="INV66311"/>
    <d v="2025-03-21T00:00:00"/>
    <d v="2026-04-06T00:00:00"/>
    <n v="539089"/>
    <s v="Retailer"/>
    <x v="0"/>
    <s v="Product Type 3"/>
    <n v="1078178"/>
    <n v="0"/>
    <x v="0"/>
    <n v="8.6464701655145949E-5"/>
    <n v="0.5"/>
    <s v="500K-2M"/>
  </r>
  <r>
    <s v="C050"/>
    <s v="Customer_050"/>
    <s v="INV26455"/>
    <d v="2025-08-31T00:00:00"/>
    <d v="2025-12-10T00:00:00"/>
    <n v="7092672"/>
    <s v="Export"/>
    <x v="1"/>
    <s v="Product Type 5"/>
    <n v="70926720"/>
    <n v="80"/>
    <x v="2"/>
    <n v="1.1375965163781998E-3"/>
    <n v="0.1"/>
    <s v="&gt;5M"/>
  </r>
  <r>
    <s v="C106"/>
    <s v="Customer_106"/>
    <s v="INV97911"/>
    <d v="2025-12-27T00:00:00"/>
    <d v="2025-11-03T00:00:00"/>
    <n v="892201"/>
    <s v="Export"/>
    <x v="4"/>
    <s v="Product Type 4"/>
    <n v="1784402"/>
    <n v="117"/>
    <x v="3"/>
    <n v="1.4310047743771968E-4"/>
    <n v="0.5"/>
    <s v="500K-2M"/>
  </r>
  <r>
    <s v="C101"/>
    <s v="Customer_101"/>
    <s v="INV44548"/>
    <d v="2025-09-17T00:00:00"/>
    <d v="2026-01-10T00:00:00"/>
    <n v="4490002"/>
    <s v="Distributor"/>
    <x v="3"/>
    <s v="Product Type 1"/>
    <n v="35920016"/>
    <n v="49"/>
    <x v="1"/>
    <n v="7.2015322768783751E-4"/>
    <n v="0.125"/>
    <s v="2M-5M"/>
  </r>
  <r>
    <s v="C019"/>
    <s v="Customer_019"/>
    <s v="INV25319"/>
    <d v="2025-05-09T00:00:00"/>
    <d v="2025-12-03T00:00:00"/>
    <n v="2605406"/>
    <s v="Export"/>
    <x v="1"/>
    <s v="Product Type 6"/>
    <n v="15632436"/>
    <n v="87"/>
    <x v="2"/>
    <n v="4.1788211683140854E-4"/>
    <n v="0.16666666666666666"/>
    <s v="2M-5M"/>
  </r>
  <r>
    <s v="C097"/>
    <s v="Customer_097"/>
    <s v="INV62251"/>
    <d v="2025-12-07T00:00:00"/>
    <d v="2025-10-07T00:00:00"/>
    <n v="4879504"/>
    <s v="Distributor"/>
    <x v="1"/>
    <s v="Product Type 4"/>
    <n v="14638512"/>
    <n v="144"/>
    <x v="3"/>
    <n v="7.8262561021480925E-4"/>
    <n v="0.33333333333333331"/>
    <s v="2M-5M"/>
  </r>
  <r>
    <s v="C015"/>
    <s v="Customer_015"/>
    <s v="INV17868"/>
    <d v="2025-03-27T00:00:00"/>
    <d v="2025-10-22T00:00:00"/>
    <n v="5739869"/>
    <s v="Distributor"/>
    <x v="0"/>
    <s v="Product Type 5"/>
    <n v="51658821"/>
    <n v="129"/>
    <x v="3"/>
    <n v="9.2061989880079347E-4"/>
    <n v="0.1111111111111111"/>
    <s v="&gt;5M"/>
  </r>
  <r>
    <s v="C052"/>
    <s v="Customer_052"/>
    <s v="INV79496"/>
    <d v="2025-12-14T00:00:00"/>
    <d v="2025-11-27T00:00:00"/>
    <n v="3517231"/>
    <s v="Retailer"/>
    <x v="4"/>
    <s v="Product Type 4"/>
    <n v="24620617"/>
    <n v="93"/>
    <x v="3"/>
    <n v="5.6413009552639857E-4"/>
    <n v="0.14285714285714285"/>
    <s v="2M-5M"/>
  </r>
  <r>
    <s v="C050"/>
    <s v="Customer_050"/>
    <s v="INV66837"/>
    <d v="2025-09-12T00:00:00"/>
    <d v="2025-10-20T00:00:00"/>
    <n v="6744449"/>
    <s v="Retailer"/>
    <x v="5"/>
    <s v="Product Type 4"/>
    <n v="53955592"/>
    <n v="131"/>
    <x v="3"/>
    <n v="1.0817448892731024E-3"/>
    <n v="0.125"/>
    <s v="&gt;5M"/>
  </r>
  <r>
    <s v="C192"/>
    <s v="Customer_192"/>
    <s v="INV71305"/>
    <d v="2025-07-04T00:00:00"/>
    <d v="2026-03-03T00:00:00"/>
    <n v="5040109"/>
    <s v="Distributor"/>
    <x v="4"/>
    <s v="Product Type 5"/>
    <n v="20160436"/>
    <n v="0"/>
    <x v="0"/>
    <n v="8.0838511079694823E-4"/>
    <n v="0.25"/>
    <s v="&gt;5M"/>
  </r>
  <r>
    <s v="C061"/>
    <s v="Customer_061"/>
    <s v="INV98924"/>
    <d v="2025-04-06T00:00:00"/>
    <d v="2025-10-19T00:00:00"/>
    <n v="1986456"/>
    <s v="Distributor"/>
    <x v="2"/>
    <s v="Product Type 2"/>
    <n v="7945824"/>
    <n v="132"/>
    <x v="3"/>
    <n v="3.1860847724786559E-4"/>
    <n v="0.25"/>
    <s v="500K-2M"/>
  </r>
  <r>
    <s v="C200"/>
    <s v="Customer_200"/>
    <s v="INV79490"/>
    <d v="2025-08-03T00:00:00"/>
    <d v="2026-01-13T00:00:00"/>
    <n v="7135604"/>
    <s v="Retailer"/>
    <x v="0"/>
    <s v="Product Type 3"/>
    <n v="35678020"/>
    <n v="46"/>
    <x v="1"/>
    <n v="1.1444823971352895E-3"/>
    <n v="0.2"/>
    <s v="&gt;5M"/>
  </r>
  <r>
    <s v="C005"/>
    <s v="Customer_005"/>
    <s v="INV56243"/>
    <d v="2025-03-08T00:00:00"/>
    <d v="2025-10-26T00:00:00"/>
    <n v="7637300"/>
    <s v="Distributor"/>
    <x v="3"/>
    <s v="Product Type 3"/>
    <n v="15274600"/>
    <n v="125"/>
    <x v="3"/>
    <n v="1.224949620472401E-3"/>
    <n v="0.5"/>
    <s v="&gt;5M"/>
  </r>
  <r>
    <s v="C122"/>
    <s v="Customer_122"/>
    <s v="INV69434"/>
    <d v="2025-10-20T00:00:00"/>
    <d v="2025-09-17T00:00:00"/>
    <n v="626786"/>
    <s v="Retailer"/>
    <x v="0"/>
    <s v="Product Type 2"/>
    <n v="2507144"/>
    <n v="164"/>
    <x v="3"/>
    <n v="1.0053045877697804E-4"/>
    <n v="0.25"/>
    <s v="500K-2M"/>
  </r>
  <r>
    <s v="C079"/>
    <s v="Customer_079"/>
    <s v="INV38102"/>
    <d v="2025-08-11T00:00:00"/>
    <d v="2026-01-07T00:00:00"/>
    <n v="7607795"/>
    <s v="Retailer"/>
    <x v="0"/>
    <s v="Product Type 6"/>
    <n v="53254565"/>
    <n v="52"/>
    <x v="1"/>
    <n v="1.2202173016487279E-3"/>
    <n v="0.14285714285714285"/>
    <s v="&gt;5M"/>
  </r>
  <r>
    <s v="C103"/>
    <s v="Customer_103"/>
    <s v="INV57024"/>
    <d v="2025-07-30T00:00:00"/>
    <d v="2025-10-08T00:00:00"/>
    <n v="3911230"/>
    <s v="Distributor"/>
    <x v="5"/>
    <s v="Product Type 5"/>
    <n v="7822460"/>
    <n v="143"/>
    <x v="3"/>
    <n v="6.2732375369309432E-4"/>
    <n v="0.5"/>
    <s v="2M-5M"/>
  </r>
  <r>
    <s v="C146"/>
    <s v="Customer_146"/>
    <s v="INV20179"/>
    <d v="2026-01-20T00:00:00"/>
    <d v="2025-11-24T00:00:00"/>
    <n v="3786521"/>
    <s v="Distributor"/>
    <x v="3"/>
    <s v="Product Type 1"/>
    <n v="34078689"/>
    <n v="96"/>
    <x v="3"/>
    <n v="6.0732162699655328E-4"/>
    <n v="0.1111111111111111"/>
    <s v="2M-5M"/>
  </r>
  <r>
    <s v="C159"/>
    <s v="Customer_159"/>
    <s v="INV49581"/>
    <d v="2025-12-10T00:00:00"/>
    <d v="2026-01-06T00:00:00"/>
    <n v="901817"/>
    <s v="Distributor"/>
    <x v="5"/>
    <s v="Product Type 3"/>
    <n v="6312719"/>
    <n v="53"/>
    <x v="1"/>
    <n v="1.4464279154747871E-4"/>
    <n v="0.14285714285714285"/>
    <s v="500K-2M"/>
  </r>
  <r>
    <s v="C103"/>
    <s v="Customer_103"/>
    <s v="INV27410"/>
    <d v="2025-07-15T00:00:00"/>
    <d v="2025-09-19T00:00:00"/>
    <n v="5459052"/>
    <s v="Distributor"/>
    <x v="2"/>
    <s v="Product Type 1"/>
    <n v="16377156"/>
    <n v="162"/>
    <x v="3"/>
    <n v="8.7557954716183746E-4"/>
    <n v="0.33333333333333331"/>
    <s v="&gt;5M"/>
  </r>
  <r>
    <s v="C199"/>
    <s v="Customer_199"/>
    <s v="INV63021"/>
    <d v="2025-12-05T00:00:00"/>
    <d v="2025-11-04T00:00:00"/>
    <n v="4377705"/>
    <s v="Distributor"/>
    <x v="5"/>
    <s v="Product Type 5"/>
    <n v="13133115"/>
    <n v="116"/>
    <x v="3"/>
    <n v="7.0214186666624754E-4"/>
    <n v="0.33333333333333331"/>
    <s v="2M-5M"/>
  </r>
  <r>
    <s v="C157"/>
    <s v="Customer_157"/>
    <s v="INV71391"/>
    <d v="2025-07-24T00:00:00"/>
    <d v="2025-12-03T00:00:00"/>
    <n v="4455979"/>
    <s v="Distributor"/>
    <x v="5"/>
    <s v="Product Type 5"/>
    <n v="44559790"/>
    <n v="87"/>
    <x v="2"/>
    <n v="7.1469626502598945E-4"/>
    <n v="0.1"/>
    <s v="2M-5M"/>
  </r>
  <r>
    <s v="C157"/>
    <s v="Customer_157"/>
    <s v="INV62011"/>
    <d v="2025-04-28T00:00:00"/>
    <d v="2025-09-12T00:00:00"/>
    <n v="4256223"/>
    <s v="Distributor"/>
    <x v="3"/>
    <s v="Product Type 6"/>
    <n v="25537338"/>
    <n v="169"/>
    <x v="3"/>
    <n v="6.826573197983455E-4"/>
    <n v="0.16666666666666666"/>
    <s v="2M-5M"/>
  </r>
  <r>
    <s v="C119"/>
    <s v="Customer_119"/>
    <s v="INV42930"/>
    <d v="2025-04-17T00:00:00"/>
    <d v="2026-03-07T00:00:00"/>
    <n v="5741939"/>
    <s v="Distributor"/>
    <x v="1"/>
    <s v="Product Type 6"/>
    <n v="57419390"/>
    <n v="0"/>
    <x v="0"/>
    <n v="9.2095190693382181E-4"/>
    <n v="0.1"/>
    <s v="&gt;5M"/>
  </r>
  <r>
    <s v="C139"/>
    <s v="Customer_139"/>
    <s v="INV74943"/>
    <d v="2025-09-01T00:00:00"/>
    <d v="2025-12-20T00:00:00"/>
    <n v="7693130"/>
    <s v="Distributor"/>
    <x v="3"/>
    <s v="Product Type 3"/>
    <n v="76931300"/>
    <n v="70"/>
    <x v="2"/>
    <n v="1.2339042166400222E-3"/>
    <n v="0.1"/>
    <s v="&gt;5M"/>
  </r>
  <r>
    <s v="C141"/>
    <s v="Customer_141"/>
    <s v="INV52479"/>
    <d v="2025-10-05T00:00:00"/>
    <d v="2025-10-03T00:00:00"/>
    <n v="3637882"/>
    <s v="Distributor"/>
    <x v="5"/>
    <s v="Product Type 1"/>
    <n v="14551528"/>
    <n v="148"/>
    <x v="3"/>
    <n v="5.8348135796988188E-4"/>
    <n v="0.25"/>
    <s v="2M-5M"/>
  </r>
  <r>
    <s v="C063"/>
    <s v="Customer_063"/>
    <s v="INV10160"/>
    <d v="2026-01-10T00:00:00"/>
    <d v="2025-09-15T00:00:00"/>
    <n v="6920231"/>
    <s v="Retailer"/>
    <x v="5"/>
    <s v="Product Type 4"/>
    <n v="34601155"/>
    <n v="166"/>
    <x v="3"/>
    <n v="1.1099386349929089E-3"/>
    <n v="0.2"/>
    <s v="&gt;5M"/>
  </r>
  <r>
    <s v="C040"/>
    <s v="Customer_040"/>
    <s v="INV72931"/>
    <d v="2025-08-19T00:00:00"/>
    <d v="2025-12-29T00:00:00"/>
    <n v="169104"/>
    <s v="Export"/>
    <x v="3"/>
    <s v="Product Type 4"/>
    <n v="1521936"/>
    <n v="61"/>
    <x v="2"/>
    <n v="2.7122658612384599E-5"/>
    <n v="0.1111111111111111"/>
    <s v="&lt;500K"/>
  </r>
  <r>
    <s v="C029"/>
    <s v="Customer_029"/>
    <s v="INV52483"/>
    <d v="2025-12-05T00:00:00"/>
    <d v="2026-04-05T00:00:00"/>
    <n v="6417196"/>
    <s v="Distributor"/>
    <x v="0"/>
    <s v="Product Type 2"/>
    <n v="64171960"/>
    <n v="0"/>
    <x v="0"/>
    <n v="1.0292566489069448E-3"/>
    <n v="0.1"/>
    <s v="&gt;5M"/>
  </r>
  <r>
    <s v="C020"/>
    <s v="Customer_020"/>
    <s v="INV47789"/>
    <d v="2026-01-14T00:00:00"/>
    <d v="2025-12-02T00:00:00"/>
    <n v="922430"/>
    <s v="Distributor"/>
    <x v="2"/>
    <s v="Product Type 6"/>
    <n v="6457010"/>
    <n v="88"/>
    <x v="2"/>
    <n v="1.4794891891275149E-4"/>
    <n v="0.14285714285714285"/>
    <s v="500K-2M"/>
  </r>
  <r>
    <s v="C102"/>
    <s v="Customer_102"/>
    <s v="INV73447"/>
    <d v="2025-12-11T00:00:00"/>
    <d v="2025-12-12T00:00:00"/>
    <n v="2102706"/>
    <s v="Distributor"/>
    <x v="0"/>
    <s v="Product Type 1"/>
    <n v="6308118"/>
    <n v="78"/>
    <x v="2"/>
    <n v="3.3725386153025814E-4"/>
    <n v="0.33333333333333331"/>
    <s v="2M-5M"/>
  </r>
  <r>
    <s v="C123"/>
    <s v="Customer_123"/>
    <s v="INV79307"/>
    <d v="2025-04-02T00:00:00"/>
    <d v="2026-02-14T00:00:00"/>
    <n v="5585817"/>
    <s v="Distributor"/>
    <x v="2"/>
    <s v="Product Type 4"/>
    <n v="39100719"/>
    <n v="14"/>
    <x v="4"/>
    <n v="8.9591143652577288E-4"/>
    <n v="0.14285714285714285"/>
    <s v="&gt;5M"/>
  </r>
  <r>
    <s v="C106"/>
    <s v="Customer_106"/>
    <s v="INV71582"/>
    <d v="2026-01-09T00:00:00"/>
    <d v="2026-03-23T00:00:00"/>
    <n v="5568909"/>
    <s v="Distributor"/>
    <x v="5"/>
    <s v="Product Type 5"/>
    <n v="11137818"/>
    <n v="0"/>
    <x v="0"/>
    <n v="8.9319955560150026E-4"/>
    <n v="0.5"/>
    <s v="&gt;5M"/>
  </r>
  <r>
    <s v="C102"/>
    <s v="Customer_102"/>
    <s v="INV70683"/>
    <d v="2025-04-10T00:00:00"/>
    <d v="2026-01-11T00:00:00"/>
    <n v="6243914"/>
    <s v="Distributor"/>
    <x v="5"/>
    <s v="Product Type 6"/>
    <n v="18731742"/>
    <n v="48"/>
    <x v="1"/>
    <n v="1.001463879193211E-3"/>
    <n v="0.33333333333333331"/>
    <s v="&gt;5M"/>
  </r>
  <r>
    <s v="C060"/>
    <s v="Customer_060"/>
    <s v="INV70294"/>
    <d v="2025-12-19T00:00:00"/>
    <d v="2026-04-18T00:00:00"/>
    <n v="2697265"/>
    <s v="Retailer"/>
    <x v="4"/>
    <s v="Product Type 1"/>
    <n v="26972650"/>
    <n v="0"/>
    <x v="0"/>
    <n v="4.3261541880815088E-4"/>
    <n v="0.1"/>
    <s v="2M-5M"/>
  </r>
  <r>
    <s v="C010"/>
    <s v="Customer_010"/>
    <s v="INV51310"/>
    <d v="2025-06-18T00:00:00"/>
    <d v="2025-10-27T00:00:00"/>
    <n v="4621926"/>
    <s v="Distributor"/>
    <x v="2"/>
    <s v="Product Type 5"/>
    <n v="9243852"/>
    <n v="124"/>
    <x v="3"/>
    <n v="7.4131257113790503E-4"/>
    <n v="0.5"/>
    <s v="2M-5M"/>
  </r>
  <r>
    <s v="C090"/>
    <s v="Customer_090"/>
    <s v="INV28869"/>
    <d v="2025-12-07T00:00:00"/>
    <d v="2026-04-18T00:00:00"/>
    <n v="4665736"/>
    <s v="Distributor"/>
    <x v="3"/>
    <s v="Product Type 5"/>
    <n v="46657360"/>
    <n v="0"/>
    <x v="0"/>
    <n v="7.4833927466832757E-4"/>
    <n v="0.1"/>
    <s v="2M-5M"/>
  </r>
  <r>
    <s v="C138"/>
    <s v="Customer_138"/>
    <s v="INV86053"/>
    <d v="2025-12-11T00:00:00"/>
    <d v="2025-12-23T00:00:00"/>
    <n v="3691543"/>
    <s v="Retailer"/>
    <x v="4"/>
    <s v="Product Type 4"/>
    <n v="14766172"/>
    <n v="67"/>
    <x v="2"/>
    <n v="5.9208806735463429E-4"/>
    <n v="0.25"/>
    <s v="2M-5M"/>
  </r>
  <r>
    <s v="C027"/>
    <s v="Customer_027"/>
    <s v="INV86840"/>
    <d v="2025-03-02T00:00:00"/>
    <d v="2025-11-28T00:00:00"/>
    <n v="4526603"/>
    <s v="Distributor"/>
    <x v="4"/>
    <s v="Product Type 6"/>
    <n v="27159618"/>
    <n v="92"/>
    <x v="3"/>
    <n v="7.2602367680714799E-4"/>
    <n v="0.16666666666666666"/>
    <s v="2M-5M"/>
  </r>
  <r>
    <s v="C125"/>
    <s v="Customer_125"/>
    <s v="INV26757"/>
    <d v="2025-07-14T00:00:00"/>
    <d v="2026-04-03T00:00:00"/>
    <n v="6518678"/>
    <s v="Retailer"/>
    <x v="3"/>
    <s v="Product Type 6"/>
    <n v="39112068"/>
    <n v="0"/>
    <x v="0"/>
    <n v="1.0455333877262632E-3"/>
    <n v="0.16666666666666666"/>
    <s v="&gt;5M"/>
  </r>
  <r>
    <s v="C060"/>
    <s v="Customer_060"/>
    <s v="INV39792"/>
    <d v="2025-07-12T00:00:00"/>
    <d v="2026-03-21T00:00:00"/>
    <n v="2724137"/>
    <s v="Retailer"/>
    <x v="2"/>
    <s v="Product Type 5"/>
    <n v="8172411"/>
    <n v="0"/>
    <x v="0"/>
    <n v="4.3692542970222786E-4"/>
    <n v="0.33333333333333331"/>
    <s v="2M-5M"/>
  </r>
  <r>
    <s v="C104"/>
    <s v="Customer_104"/>
    <s v="INV41737"/>
    <d v="2025-04-19T00:00:00"/>
    <d v="2026-04-18T00:00:00"/>
    <n v="1895831"/>
    <s v="Retailer"/>
    <x v="1"/>
    <s v="Product Type 1"/>
    <n v="17062479"/>
    <n v="0"/>
    <x v="0"/>
    <n v="3.0407309702772085E-4"/>
    <n v="0.1111111111111111"/>
    <s v="500K-2M"/>
  </r>
  <r>
    <s v="C029"/>
    <s v="Customer_029"/>
    <s v="INV57517"/>
    <d v="2025-05-15T00:00:00"/>
    <d v="2026-03-09T00:00:00"/>
    <n v="7087285"/>
    <s v="Distributor"/>
    <x v="4"/>
    <s v="Product Type 1"/>
    <n v="21261855"/>
    <n v="0"/>
    <x v="0"/>
    <n v="1.1367324932803138E-3"/>
    <n v="0.33333333333333331"/>
    <s v="&gt;5M"/>
  </r>
  <r>
    <s v="C004"/>
    <s v="Customer_004"/>
    <s v="INV71172"/>
    <d v="2026-01-29T00:00:00"/>
    <d v="2025-12-21T00:00:00"/>
    <n v="4479843"/>
    <s v="Distributor"/>
    <x v="3"/>
    <s v="Product Type 1"/>
    <n v="35838744"/>
    <n v="69"/>
    <x v="2"/>
    <n v="7.185238215895594E-4"/>
    <n v="0.125"/>
    <s v="2M-5M"/>
  </r>
  <r>
    <s v="C037"/>
    <s v="Customer_037"/>
    <s v="INV34812"/>
    <d v="2025-10-16T00:00:00"/>
    <d v="2025-09-30T00:00:00"/>
    <n v="3578768"/>
    <s v="Distributor"/>
    <x v="2"/>
    <s v="Product Type 1"/>
    <n v="17893840"/>
    <n v="151"/>
    <x v="3"/>
    <n v="5.740000397206832E-4"/>
    <n v="0.2"/>
    <s v="2M-5M"/>
  </r>
  <r>
    <s v="C007"/>
    <s v="Customer_007"/>
    <s v="INV66610"/>
    <d v="2026-01-07T00:00:00"/>
    <d v="2025-09-10T00:00:00"/>
    <n v="4651830"/>
    <s v="Distributor"/>
    <x v="2"/>
    <s v="Product Type 1"/>
    <n v="27910980"/>
    <n v="171"/>
    <x v="3"/>
    <n v="7.4610888573214734E-4"/>
    <n v="0.16666666666666666"/>
    <s v="2M-5M"/>
  </r>
  <r>
    <s v="C115"/>
    <s v="Customer_115"/>
    <s v="INV37805"/>
    <d v="2025-05-11T00:00:00"/>
    <d v="2026-03-12T00:00:00"/>
    <n v="6226290"/>
    <s v="Retailer"/>
    <x v="2"/>
    <s v="Product Type 3"/>
    <n v="18678870"/>
    <n v="0"/>
    <x v="0"/>
    <n v="9.9863715874079907E-4"/>
    <n v="0.33333333333333331"/>
    <s v="&gt;5M"/>
  </r>
  <r>
    <s v="C089"/>
    <s v="Customer_089"/>
    <s v="INV29079"/>
    <d v="2025-11-21T00:00:00"/>
    <d v="2025-10-20T00:00:00"/>
    <n v="7180654"/>
    <s v="Export"/>
    <x v="3"/>
    <s v="Product Type 4"/>
    <n v="28722616"/>
    <n v="131"/>
    <x v="3"/>
    <n v="1.1517079847647243E-3"/>
    <n v="0.25"/>
    <s v="&gt;5M"/>
  </r>
  <r>
    <s v="C020"/>
    <s v="Customer_020"/>
    <s v="INV56375"/>
    <d v="2025-06-19T00:00:00"/>
    <d v="2025-09-28T00:00:00"/>
    <n v="3386421"/>
    <s v="Distributor"/>
    <x v="0"/>
    <s v="Product Type 4"/>
    <n v="10159263"/>
    <n v="153"/>
    <x v="3"/>
    <n v="5.4314942698463703E-4"/>
    <n v="0.33333333333333331"/>
    <s v="2M-5M"/>
  </r>
  <r>
    <s v="C079"/>
    <s v="Customer_079"/>
    <s v="INV62889"/>
    <d v="2025-08-14T00:00:00"/>
    <d v="2025-11-09T00:00:00"/>
    <n v="6359517"/>
    <s v="Distributor"/>
    <x v="5"/>
    <s v="Product Type 1"/>
    <n v="25438068"/>
    <n v="111"/>
    <x v="3"/>
    <n v="1.020005490885232E-3"/>
    <n v="0.25"/>
    <s v="&gt;5M"/>
  </r>
  <r>
    <s v="C067"/>
    <s v="Customer_067"/>
    <s v="INV71529"/>
    <d v="2025-06-01T00:00:00"/>
    <d v="2026-02-23T00:00:00"/>
    <n v="4817488"/>
    <s v="Distributor"/>
    <x v="1"/>
    <s v="Product Type 2"/>
    <n v="48174880"/>
    <n v="5"/>
    <x v="4"/>
    <n v="7.7267883901776103E-4"/>
    <n v="0.1"/>
    <s v="2M-5M"/>
  </r>
  <r>
    <s v="C147"/>
    <s v="Customer_147"/>
    <s v="INV33368"/>
    <d v="2025-10-02T00:00:00"/>
    <d v="2025-11-10T00:00:00"/>
    <n v="6450940"/>
    <s v="Export"/>
    <x v="1"/>
    <s v="Product Type 6"/>
    <n v="19352820"/>
    <n v="110"/>
    <x v="3"/>
    <n v="1.0346688626465151E-3"/>
    <n v="0.33333333333333331"/>
    <s v="&gt;5M"/>
  </r>
  <r>
    <s v="C130"/>
    <s v="Customer_130"/>
    <s v="INV93366"/>
    <d v="2025-08-19T00:00:00"/>
    <d v="2025-09-03T00:00:00"/>
    <n v="5646890"/>
    <s v="Distributor"/>
    <x v="1"/>
    <s v="Product Type 4"/>
    <n v="22587560"/>
    <n v="178"/>
    <x v="3"/>
    <n v="9.0570695957333045E-4"/>
    <n v="0.25"/>
    <s v="&gt;5M"/>
  </r>
  <r>
    <s v="C077"/>
    <s v="Customer_077"/>
    <s v="INV29450"/>
    <d v="2025-09-09T00:00:00"/>
    <d v="2026-02-08T00:00:00"/>
    <n v="1639692"/>
    <s v="Distributor"/>
    <x v="1"/>
    <s v="Product Type 2"/>
    <n v="14757228"/>
    <n v="20"/>
    <x v="4"/>
    <n v="2.6299085973991229E-4"/>
    <n v="0.1111111111111111"/>
    <s v="500K-2M"/>
  </r>
  <r>
    <s v="C193"/>
    <s v="Customer_193"/>
    <s v="INV20804"/>
    <d v="2025-07-03T00:00:00"/>
    <d v="2025-10-11T00:00:00"/>
    <n v="6960037"/>
    <s v="Retailer"/>
    <x v="3"/>
    <s v="Product Type 5"/>
    <n v="20880111"/>
    <n v="140"/>
    <x v="3"/>
    <n v="1.116323135352005E-3"/>
    <n v="0.33333333333333331"/>
    <s v="&gt;5M"/>
  </r>
  <r>
    <s v="C017"/>
    <s v="Customer_017"/>
    <s v="INV87372"/>
    <d v="2025-08-23T00:00:00"/>
    <d v="2025-12-22T00:00:00"/>
    <n v="7155624"/>
    <s v="Distributor"/>
    <x v="3"/>
    <s v="Product Type 3"/>
    <n v="35778120"/>
    <n v="68"/>
    <x v="2"/>
    <n v="1.1476934129919217E-3"/>
    <n v="0.2"/>
    <s v="&gt;5M"/>
  </r>
  <r>
    <s v="C085"/>
    <s v="Customer_085"/>
    <s v="INV88716"/>
    <d v="2025-09-20T00:00:00"/>
    <d v="2025-09-17T00:00:00"/>
    <n v="6892935"/>
    <s v="Retailer"/>
    <x v="5"/>
    <s v="Product Type 4"/>
    <n v="68929350"/>
    <n v="164"/>
    <x v="3"/>
    <n v="1.1055606185682021E-3"/>
    <n v="0.1"/>
    <s v="&gt;5M"/>
  </r>
  <r>
    <s v="C082"/>
    <s v="Customer_082"/>
    <s v="INV73741"/>
    <d v="2025-09-01T00:00:00"/>
    <d v="2026-02-22T00:00:00"/>
    <n v="5724719"/>
    <s v="Retailer"/>
    <x v="4"/>
    <s v="Product Type 5"/>
    <n v="45797752"/>
    <n v="6"/>
    <x v="4"/>
    <n v="9.1818998420399134E-4"/>
    <n v="0.125"/>
    <s v="&gt;5M"/>
  </r>
  <r>
    <s v="C143"/>
    <s v="Customer_143"/>
    <s v="INV28676"/>
    <d v="2025-08-25T00:00:00"/>
    <d v="2025-12-21T00:00:00"/>
    <n v="5582715"/>
    <s v="Export"/>
    <x v="1"/>
    <s v="Product Type 4"/>
    <n v="33496290"/>
    <n v="69"/>
    <x v="2"/>
    <n v="8.9541390549743762E-4"/>
    <n v="0.16666666666666666"/>
    <s v="&gt;5M"/>
  </r>
  <r>
    <s v="C013"/>
    <s v="Customer_013"/>
    <s v="INV45536"/>
    <d v="2025-08-31T00:00:00"/>
    <d v="2025-09-08T00:00:00"/>
    <n v="1045979"/>
    <s v="Distributor"/>
    <x v="2"/>
    <s v="Product Type 6"/>
    <n v="2091958"/>
    <n v="173"/>
    <x v="3"/>
    <n v="1.6776499274247464E-4"/>
    <n v="0.5"/>
    <s v="500K-2M"/>
  </r>
  <r>
    <s v="C135"/>
    <s v="Customer_135"/>
    <s v="INV89759"/>
    <d v="2025-07-09T00:00:00"/>
    <d v="2025-09-28T00:00:00"/>
    <n v="1703193"/>
    <s v="Export"/>
    <x v="1"/>
    <s v="Product Type 2"/>
    <n v="15328737"/>
    <n v="153"/>
    <x v="3"/>
    <n v="2.7317581068456783E-4"/>
    <n v="0.1111111111111111"/>
    <s v="500K-2M"/>
  </r>
  <r>
    <s v="C088"/>
    <s v="Customer_088"/>
    <s v="INV48790"/>
    <d v="2025-06-07T00:00:00"/>
    <d v="2025-09-27T00:00:00"/>
    <n v="5914892"/>
    <s v="Retailer"/>
    <x v="2"/>
    <s v="Product Type 4"/>
    <n v="17744676"/>
    <n v="154"/>
    <x v="3"/>
    <n v="9.4869190820515636E-4"/>
    <n v="0.33333333333333331"/>
    <s v="&gt;5M"/>
  </r>
  <r>
    <s v="C158"/>
    <s v="Customer_158"/>
    <s v="INV68874"/>
    <d v="2026-01-13T00:00:00"/>
    <d v="2026-02-02T00:00:00"/>
    <n v="937919"/>
    <s v="Export"/>
    <x v="2"/>
    <s v="Product Type 1"/>
    <n v="9379190"/>
    <n v="26"/>
    <x v="4"/>
    <n v="1.504332058559771E-4"/>
    <n v="0.1"/>
    <s v="500K-2M"/>
  </r>
  <r>
    <s v="C047"/>
    <s v="Customer_047"/>
    <s v="INV91718"/>
    <d v="2025-06-19T00:00:00"/>
    <d v="2025-10-09T00:00:00"/>
    <n v="5400297"/>
    <s v="Distributor"/>
    <x v="3"/>
    <s v="Product Type 3"/>
    <n v="27001485"/>
    <n v="142"/>
    <x v="3"/>
    <n v="8.661558090671108E-4"/>
    <n v="0.2"/>
    <s v="&gt;5M"/>
  </r>
  <r>
    <s v="C026"/>
    <s v="Customer_026"/>
    <s v="INV51190"/>
    <d v="2025-11-24T00:00:00"/>
    <d v="2025-09-21T00:00:00"/>
    <n v="7702324"/>
    <s v="Distributor"/>
    <x v="4"/>
    <s v="Product Type 6"/>
    <n v="61618592"/>
    <n v="160"/>
    <x v="3"/>
    <n v="1.2353788459999562E-3"/>
    <n v="0.125"/>
    <s v="&gt;5M"/>
  </r>
  <r>
    <s v="C143"/>
    <s v="Customer_143"/>
    <s v="INV58184"/>
    <d v="2025-07-19T00:00:00"/>
    <d v="2026-03-25T00:00:00"/>
    <n v="5197510"/>
    <s v="Distributor"/>
    <x v="2"/>
    <s v="Product Type 4"/>
    <n v="20790040"/>
    <n v="0"/>
    <x v="0"/>
    <n v="8.3363072052970407E-4"/>
    <n v="0.25"/>
    <s v="&gt;5M"/>
  </r>
  <r>
    <s v="C190"/>
    <s v="Customer_190"/>
    <s v="INV12381"/>
    <d v="2025-06-09T00:00:00"/>
    <d v="2025-09-16T00:00:00"/>
    <n v="6144703"/>
    <s v="Distributor"/>
    <x v="0"/>
    <s v="Product Type 1"/>
    <n v="30723515"/>
    <n v="165"/>
    <x v="3"/>
    <n v="9.8555138697780948E-4"/>
    <n v="0.2"/>
    <s v="&gt;5M"/>
  </r>
  <r>
    <s v="C068"/>
    <s v="Customer_068"/>
    <s v="INV63808"/>
    <d v="2026-01-20T00:00:00"/>
    <d v="2026-02-14T00:00:00"/>
    <n v="577083"/>
    <s v="Retailer"/>
    <x v="2"/>
    <s v="Product Type 2"/>
    <n v="5193747"/>
    <n v="14"/>
    <x v="4"/>
    <n v="9.2558574605040338E-5"/>
    <n v="0.1111111111111111"/>
    <s v="500K-2M"/>
  </r>
  <r>
    <s v="C069"/>
    <s v="Customer_069"/>
    <s v="INV41526"/>
    <d v="2026-01-25T00:00:00"/>
    <d v="2026-01-06T00:00:00"/>
    <n v="2037398"/>
    <s v="Retailer"/>
    <x v="3"/>
    <s v="Product Type 5"/>
    <n v="18336582"/>
    <n v="53"/>
    <x v="1"/>
    <n v="3.2677908512841302E-4"/>
    <n v="0.1111111111111111"/>
    <s v="2M-5M"/>
  </r>
  <r>
    <s v="C167"/>
    <s v="Customer_167"/>
    <s v="INV43258"/>
    <d v="2025-03-10T00:00:00"/>
    <d v="2025-11-14T00:00:00"/>
    <n v="7346177"/>
    <s v="Retailer"/>
    <x v="3"/>
    <s v="Product Type 5"/>
    <n v="44077062"/>
    <n v="106"/>
    <x v="3"/>
    <n v="1.17825628534601E-3"/>
    <n v="0.16666666666666666"/>
    <s v="&gt;5M"/>
  </r>
  <r>
    <s v="C116"/>
    <s v="Customer_116"/>
    <s v="INV34152"/>
    <d v="2025-03-17T00:00:00"/>
    <d v="2025-10-30T00:00:00"/>
    <n v="5758070"/>
    <s v="Retailer"/>
    <x v="1"/>
    <s v="Product Type 5"/>
    <n v="34548420"/>
    <n v="121"/>
    <x v="3"/>
    <n v="9.2353916451540696E-4"/>
    <n v="0.16666666666666666"/>
    <s v="&gt;5M"/>
  </r>
  <r>
    <s v="C049"/>
    <s v="Customer_049"/>
    <s v="INV74996"/>
    <d v="2025-08-28T00:00:00"/>
    <d v="2026-03-22T00:00:00"/>
    <n v="3939861"/>
    <s v="Retailer"/>
    <x v="1"/>
    <s v="Product Type 1"/>
    <n v="31518888"/>
    <n v="0"/>
    <x v="0"/>
    <n v="6.3191589130504424E-4"/>
    <n v="0.125"/>
    <s v="2M-5M"/>
  </r>
  <r>
    <s v="C186"/>
    <s v="Customer_186"/>
    <s v="INV41948"/>
    <d v="2025-09-18T00:00:00"/>
    <d v="2025-09-12T00:00:00"/>
    <n v="1549478"/>
    <s v="Retailer"/>
    <x v="0"/>
    <s v="Product Type 6"/>
    <n v="12395824"/>
    <n v="169"/>
    <x v="3"/>
    <n v="2.4852139997516597E-4"/>
    <n v="0.125"/>
    <s v="500K-2M"/>
  </r>
  <r>
    <s v="C195"/>
    <s v="Customer_195"/>
    <s v="INV76534"/>
    <d v="2025-10-10T00:00:00"/>
    <d v="2025-09-14T00:00:00"/>
    <n v="5753418"/>
    <s v="Distributor"/>
    <x v="5"/>
    <s v="Product Type 1"/>
    <n v="34520508"/>
    <n v="167"/>
    <x v="3"/>
    <n v="9.2279302836330648E-4"/>
    <n v="0.16666666666666666"/>
    <s v="&gt;5M"/>
  </r>
  <r>
    <s v="C049"/>
    <s v="Customer_049"/>
    <s v="INV97136"/>
    <d v="2025-11-24T00:00:00"/>
    <d v="2025-12-16T00:00:00"/>
    <n v="3858855"/>
    <s v="Distributor"/>
    <x v="0"/>
    <s v="Product Type 5"/>
    <n v="7717710"/>
    <n v="74"/>
    <x v="2"/>
    <n v="6.1892330636586579E-4"/>
    <n v="0.5"/>
    <s v="2M-5M"/>
  </r>
  <r>
    <s v="C001"/>
    <s v="Customer_001"/>
    <s v="INV86154"/>
    <d v="2025-08-27T00:00:00"/>
    <d v="2025-12-21T00:00:00"/>
    <n v="1822057"/>
    <s v="Retailer"/>
    <x v="2"/>
    <s v="Product Type 2"/>
    <n v="18220570"/>
    <n v="69"/>
    <x v="2"/>
    <n v="2.9224045547891027E-4"/>
    <n v="0.1"/>
    <s v="500K-2M"/>
  </r>
  <r>
    <s v="C123"/>
    <s v="Customer_123"/>
    <s v="INV33158"/>
    <d v="2025-10-26T00:00:00"/>
    <d v="2026-01-19T00:00:00"/>
    <n v="6386200"/>
    <s v="Distributor"/>
    <x v="5"/>
    <s v="Product Type 5"/>
    <n v="31931000"/>
    <n v="40"/>
    <x v="1"/>
    <n v="1.0242851879932499E-3"/>
    <n v="0.2"/>
    <s v="&gt;5M"/>
  </r>
  <r>
    <s v="C041"/>
    <s v="Customer_041"/>
    <s v="INV28839"/>
    <d v="2025-03-26T00:00:00"/>
    <d v="2026-01-03T00:00:00"/>
    <n v="1965965"/>
    <s v="Distributor"/>
    <x v="3"/>
    <s v="Product Type 6"/>
    <n v="3931930"/>
    <n v="56"/>
    <x v="1"/>
    <n v="3.1532191751168921E-4"/>
    <n v="0.5"/>
    <s v="500K-2M"/>
  </r>
  <r>
    <s v="C194"/>
    <s v="Customer_194"/>
    <s v="INV16122"/>
    <d v="2025-07-19T00:00:00"/>
    <d v="2025-11-25T00:00:00"/>
    <n v="7582600"/>
    <s v="Export"/>
    <x v="5"/>
    <s v="Product Type 4"/>
    <n v="37913000"/>
    <n v="95"/>
    <x v="3"/>
    <n v="1.2161762654595246E-3"/>
    <n v="0.2"/>
    <s v="&gt;5M"/>
  </r>
  <r>
    <s v="C130"/>
    <s v="Customer_130"/>
    <s v="INV98204"/>
    <d v="2025-04-08T00:00:00"/>
    <d v="2025-09-20T00:00:00"/>
    <n v="6835775"/>
    <s v="Distributor"/>
    <x v="0"/>
    <s v="Product Type 6"/>
    <n v="68357750"/>
    <n v="161"/>
    <x v="3"/>
    <n v="1.0963927031653498E-3"/>
    <n v="0.1"/>
    <s v="&gt;5M"/>
  </r>
  <r>
    <s v="C175"/>
    <s v="Customer_175"/>
    <s v="INV26029"/>
    <d v="2025-05-10T00:00:00"/>
    <d v="2026-01-12T00:00:00"/>
    <n v="3848214"/>
    <s v="Distributor"/>
    <x v="1"/>
    <s v="Product Type 5"/>
    <n v="26937498"/>
    <n v="47"/>
    <x v="1"/>
    <n v="6.1721659209361683E-4"/>
    <n v="0.14285714285714285"/>
    <s v="2M-5M"/>
  </r>
  <r>
    <s v="C004"/>
    <s v="Customer_004"/>
    <s v="INV89499"/>
    <d v="2026-01-08T00:00:00"/>
    <d v="2025-11-01T00:00:00"/>
    <n v="3303655"/>
    <s v="Distributor"/>
    <x v="1"/>
    <s v="Product Type 5"/>
    <n v="29732895"/>
    <n v="119"/>
    <x v="3"/>
    <n v="5.2987455493718329E-4"/>
    <n v="0.1111111111111111"/>
    <s v="2M-5M"/>
  </r>
  <r>
    <s v="C043"/>
    <s v="Customer_043"/>
    <s v="INV87558"/>
    <d v="2025-11-26T00:00:00"/>
    <d v="2025-11-28T00:00:00"/>
    <n v="3655480"/>
    <s v="Distributor"/>
    <x v="1"/>
    <s v="Product Type 2"/>
    <n v="36554800"/>
    <n v="92"/>
    <x v="3"/>
    <n v="5.8630390827183062E-4"/>
    <n v="0.1"/>
    <s v="2M-5M"/>
  </r>
  <r>
    <s v="C035"/>
    <s v="Customer_035"/>
    <s v="INV43890"/>
    <d v="2025-12-23T00:00:00"/>
    <d v="2025-10-27T00:00:00"/>
    <n v="6675389"/>
    <s v="Distributor"/>
    <x v="0"/>
    <s v="Product Type 2"/>
    <n v="26701556"/>
    <n v="124"/>
    <x v="3"/>
    <n v="1.070668328081343E-3"/>
    <n v="0.25"/>
    <s v="&gt;5M"/>
  </r>
  <r>
    <s v="C080"/>
    <s v="Customer_080"/>
    <s v="INV94127"/>
    <d v="2025-11-19T00:00:00"/>
    <d v="2026-01-29T00:00:00"/>
    <n v="4468384"/>
    <s v="Retailer"/>
    <x v="1"/>
    <s v="Product Type 4"/>
    <n v="26810304"/>
    <n v="30"/>
    <x v="4"/>
    <n v="7.1668590796812343E-4"/>
    <n v="0.16666666666666666"/>
    <s v="2M-5M"/>
  </r>
  <r>
    <s v="C095"/>
    <s v="Customer_095"/>
    <s v="INV76258"/>
    <d v="2026-01-18T00:00:00"/>
    <d v="2025-11-30T00:00:00"/>
    <n v="7552216"/>
    <s v="Retailer"/>
    <x v="0"/>
    <s v="Product Type 3"/>
    <n v="52865512"/>
    <n v="90"/>
    <x v="2"/>
    <n v="1.2113029634721164E-3"/>
    <n v="0.14285714285714285"/>
    <s v="&gt;5M"/>
  </r>
  <r>
    <s v="C168"/>
    <s v="Customer_168"/>
    <s v="INV24163"/>
    <d v="2025-11-08T00:00:00"/>
    <d v="2026-04-10T00:00:00"/>
    <n v="4883113"/>
    <s v="Distributor"/>
    <x v="5"/>
    <s v="Product Type 6"/>
    <n v="14649339"/>
    <n v="0"/>
    <x v="0"/>
    <n v="7.8320445917717612E-4"/>
    <n v="0.33333333333333331"/>
    <s v="2M-5M"/>
  </r>
  <r>
    <s v="C066"/>
    <s v="Customer_066"/>
    <s v="INV64977"/>
    <d v="2025-10-26T00:00:00"/>
    <d v="2026-03-29T00:00:00"/>
    <n v="411709"/>
    <s v="Distributor"/>
    <x v="5"/>
    <s v="Product Type 3"/>
    <n v="3705381"/>
    <n v="0"/>
    <x v="0"/>
    <n v="6.6034172193716586E-5"/>
    <n v="0.1111111111111111"/>
    <s v="&lt;500K"/>
  </r>
  <r>
    <s v="C149"/>
    <s v="Customer_149"/>
    <s v="INV95922"/>
    <d v="2025-04-21T00:00:00"/>
    <d v="2025-12-02T00:00:00"/>
    <n v="3376617"/>
    <s v="Retailer"/>
    <x v="1"/>
    <s v="Product Type 5"/>
    <n v="33766170"/>
    <n v="88"/>
    <x v="2"/>
    <n v="5.4157695947922133E-4"/>
    <n v="0.1"/>
    <s v="2M-5M"/>
  </r>
  <r>
    <s v="C082"/>
    <s v="Customer_082"/>
    <s v="INV26911"/>
    <d v="2025-11-15T00:00:00"/>
    <d v="2025-09-08T00:00:00"/>
    <n v="2394378"/>
    <s v="Distributor"/>
    <x v="3"/>
    <s v="Product Type 4"/>
    <n v="9577512"/>
    <n v="173"/>
    <x v="3"/>
    <n v="3.8403525098758284E-4"/>
    <n v="0.25"/>
    <s v="2M-5M"/>
  </r>
  <r>
    <s v="C107"/>
    <s v="Customer_107"/>
    <s v="INV53303"/>
    <d v="2025-12-15T00:00:00"/>
    <d v="2026-02-22T00:00:00"/>
    <n v="4064534"/>
    <s v="Retailer"/>
    <x v="4"/>
    <s v="Product Type 4"/>
    <n v="20322670"/>
    <n v="6"/>
    <x v="4"/>
    <n v="6.5191224394709781E-4"/>
    <n v="0.2"/>
    <s v="2M-5M"/>
  </r>
  <r>
    <s v="C166"/>
    <s v="Customer_166"/>
    <s v="INV67585"/>
    <d v="2025-10-24T00:00:00"/>
    <d v="2025-10-04T00:00:00"/>
    <n v="1097617"/>
    <s v="Retailer"/>
    <x v="0"/>
    <s v="Product Type 5"/>
    <n v="4390468"/>
    <n v="147"/>
    <x v="3"/>
    <n v="1.760472323431128E-4"/>
    <n v="0.25"/>
    <s v="500K-2M"/>
  </r>
  <r>
    <s v="C124"/>
    <s v="Customer_124"/>
    <s v="INV23059"/>
    <d v="2025-07-20T00:00:00"/>
    <d v="2025-12-02T00:00:00"/>
    <n v="5738496"/>
    <s v="Distributor"/>
    <x v="1"/>
    <s v="Product Type 3"/>
    <n v="17215488"/>
    <n v="88"/>
    <x v="2"/>
    <n v="9.2039968277825822E-4"/>
    <n v="0.33333333333333331"/>
    <s v="&gt;5M"/>
  </r>
  <r>
    <s v="C079"/>
    <s v="Customer_079"/>
    <s v="INV71644"/>
    <d v="2025-12-13T00:00:00"/>
    <d v="2025-09-26T00:00:00"/>
    <n v="6440179"/>
    <s v="Distributor"/>
    <x v="2"/>
    <s v="Product Type 5"/>
    <n v="19320537"/>
    <n v="155"/>
    <x v="3"/>
    <n v="1.0329429015259748E-3"/>
    <n v="0.33333333333333331"/>
    <s v="&gt;5M"/>
  </r>
  <r>
    <s v="C012"/>
    <s v="Customer_012"/>
    <s v="INV40260"/>
    <d v="2025-12-06T00:00:00"/>
    <d v="2026-04-06T00:00:00"/>
    <n v="3251729"/>
    <s v="Export"/>
    <x v="1"/>
    <s v="Product Type 5"/>
    <n v="22762103"/>
    <n v="0"/>
    <x v="0"/>
    <n v="5.2154612290064551E-4"/>
    <n v="0.14285714285714285"/>
    <s v="2M-5M"/>
  </r>
  <r>
    <s v="C065"/>
    <s v="Customer_065"/>
    <s v="INV57947"/>
    <d v="2026-01-19T00:00:00"/>
    <d v="2026-01-11T00:00:00"/>
    <n v="6276176"/>
    <s v="Retailer"/>
    <x v="3"/>
    <s v="Product Type 4"/>
    <n v="50209408"/>
    <n v="48"/>
    <x v="1"/>
    <n v="1.0066383943563813E-3"/>
    <n v="0.125"/>
    <s v="&gt;5M"/>
  </r>
  <r>
    <s v="C173"/>
    <s v="Customer_173"/>
    <s v="INV11734"/>
    <d v="2025-03-13T00:00:00"/>
    <d v="2025-11-25T00:00:00"/>
    <n v="7864861"/>
    <s v="Distributor"/>
    <x v="2"/>
    <s v="Product Type 5"/>
    <n v="55054027"/>
    <n v="95"/>
    <x v="3"/>
    <n v="1.2614482208395882E-3"/>
    <n v="0.14285714285714285"/>
    <s v="&gt;5M"/>
  </r>
  <r>
    <s v="C078"/>
    <s v="Customer_078"/>
    <s v="INV29620"/>
    <d v="2025-03-19T00:00:00"/>
    <d v="2026-01-07T00:00:00"/>
    <n v="1378890"/>
    <s v="Distributor"/>
    <x v="2"/>
    <s v="Product Type 2"/>
    <n v="8273340"/>
    <n v="52"/>
    <x v="1"/>
    <n v="2.2116072200557645E-4"/>
    <n v="0.16666666666666666"/>
    <s v="500K-2M"/>
  </r>
  <r>
    <s v="C200"/>
    <s v="Customer_200"/>
    <s v="INV44507"/>
    <d v="2025-06-30T00:00:00"/>
    <d v="2026-01-04T00:00:00"/>
    <n v="4646810"/>
    <s v="Distributor"/>
    <x v="4"/>
    <s v="Product Type 2"/>
    <n v="37174480"/>
    <n v="55"/>
    <x v="1"/>
    <n v="7.4530372591195284E-4"/>
    <n v="0.125"/>
    <s v="2M-5M"/>
  </r>
  <r>
    <s v="C175"/>
    <s v="Customer_175"/>
    <s v="INV78322"/>
    <d v="2025-12-14T00:00:00"/>
    <d v="2025-11-13T00:00:00"/>
    <n v="1923546"/>
    <s v="Distributor"/>
    <x v="0"/>
    <s v="Product Type 4"/>
    <n v="9617730"/>
    <n v="107"/>
    <x v="3"/>
    <n v="3.0851831703104565E-4"/>
    <n v="0.2"/>
    <s v="500K-2M"/>
  </r>
  <r>
    <s v="C143"/>
    <s v="Customer_143"/>
    <s v="INV65627"/>
    <d v="2025-06-27T00:00:00"/>
    <d v="2026-02-22T00:00:00"/>
    <n v="5792552"/>
    <s v="Retailer"/>
    <x v="2"/>
    <s v="Product Type 6"/>
    <n v="57925520"/>
    <n v="6"/>
    <x v="4"/>
    <n v="9.2906974637197012E-4"/>
    <n v="0.1"/>
    <s v="&gt;5M"/>
  </r>
  <r>
    <s v="C142"/>
    <s v="Customer_142"/>
    <s v="INV92709"/>
    <d v="2025-11-19T00:00:00"/>
    <d v="2025-12-28T00:00:00"/>
    <n v="261950"/>
    <s v="Distributor"/>
    <x v="3"/>
    <s v="Product Type 6"/>
    <n v="1571700"/>
    <n v="62"/>
    <x v="2"/>
    <n v="4.2014265916324545E-5"/>
    <n v="0.16666666666666666"/>
    <s v="&lt;500K"/>
  </r>
  <r>
    <s v="C052"/>
    <s v="Customer_052"/>
    <s v="INV36642"/>
    <d v="2025-12-29T00:00:00"/>
    <d v="2025-10-16T00:00:00"/>
    <n v="7461758"/>
    <s v="Distributor"/>
    <x v="3"/>
    <s v="Product Type 2"/>
    <n v="29847032"/>
    <n v="135"/>
    <x v="3"/>
    <n v="1.1967943684491774E-3"/>
    <n v="0.25"/>
    <s v="&gt;5M"/>
  </r>
  <r>
    <s v="C122"/>
    <s v="Customer_122"/>
    <s v="INV48842"/>
    <d v="2026-01-09T00:00:00"/>
    <d v="2025-12-27T00:00:00"/>
    <n v="6239357"/>
    <s v="Distributor"/>
    <x v="2"/>
    <s v="Product Type 6"/>
    <n v="56154213"/>
    <n v="63"/>
    <x v="2"/>
    <n v="1.0007329801293412E-3"/>
    <n v="0.1111111111111111"/>
    <s v="&gt;5M"/>
  </r>
  <r>
    <s v="C143"/>
    <s v="Customer_143"/>
    <s v="INV24472"/>
    <d v="2025-11-22T00:00:00"/>
    <d v="2026-02-22T00:00:00"/>
    <n v="5679394"/>
    <s v="Retailer"/>
    <x v="4"/>
    <s v="Product Type 4"/>
    <n v="39755758"/>
    <n v="6"/>
    <x v="4"/>
    <n v="9.1092028921388858E-4"/>
    <n v="0.14285714285714285"/>
    <s v="&gt;5M"/>
  </r>
  <r>
    <s v="C035"/>
    <s v="Customer_035"/>
    <s v="INV97756"/>
    <d v="2025-07-14T00:00:00"/>
    <d v="2026-02-16T00:00:00"/>
    <n v="4917728"/>
    <s v="Distributor"/>
    <x v="4"/>
    <s v="Product Type 6"/>
    <n v="19670912"/>
    <n v="12"/>
    <x v="4"/>
    <n v="7.8875637295726234E-4"/>
    <n v="0.25"/>
    <s v="2M-5M"/>
  </r>
  <r>
    <s v="C118"/>
    <s v="Customer_118"/>
    <s v="INV92546"/>
    <d v="2025-03-02T00:00:00"/>
    <d v="2026-02-12T00:00:00"/>
    <n v="3666661"/>
    <s v="Export"/>
    <x v="5"/>
    <s v="Product Type 6"/>
    <n v="36666610"/>
    <n v="16"/>
    <x v="4"/>
    <n v="5.880972333613914E-4"/>
    <n v="0.1"/>
    <s v="2M-5M"/>
  </r>
  <r>
    <s v="C072"/>
    <s v="Customer_072"/>
    <s v="INV27968"/>
    <d v="2025-04-10T00:00:00"/>
    <d v="2025-10-23T00:00:00"/>
    <n v="7644384"/>
    <s v="Retailer"/>
    <x v="4"/>
    <s v="Product Type 6"/>
    <n v="68799456"/>
    <n v="128"/>
    <x v="3"/>
    <n v="1.2260858260832092E-3"/>
    <n v="0.1111111111111111"/>
    <s v="&gt;5M"/>
  </r>
  <r>
    <s v="C145"/>
    <s v="Customer_145"/>
    <s v="INV65563"/>
    <d v="2025-09-16T00:00:00"/>
    <d v="2026-03-01T00:00:00"/>
    <n v="1520699"/>
    <s v="Retailer"/>
    <x v="3"/>
    <s v="Product Type 3"/>
    <n v="13686291"/>
    <n v="0"/>
    <x v="0"/>
    <n v="2.4390552458365648E-4"/>
    <n v="0.1111111111111111"/>
    <s v="500K-2M"/>
  </r>
  <r>
    <s v="C178"/>
    <s v="Customer_178"/>
    <s v="INV32867"/>
    <d v="2025-11-11T00:00:00"/>
    <d v="2025-09-15T00:00:00"/>
    <n v="4848897"/>
    <s v="Retailer"/>
    <x v="4"/>
    <s v="Product Type 6"/>
    <n v="19395588"/>
    <n v="166"/>
    <x v="3"/>
    <n v="7.7771654116765921E-4"/>
    <n v="0.25"/>
    <s v="2M-5M"/>
  </r>
  <r>
    <s v="C149"/>
    <s v="Customer_149"/>
    <s v="INV30526"/>
    <d v="2025-10-04T00:00:00"/>
    <d v="2026-04-03T00:00:00"/>
    <n v="3949489"/>
    <s v="Retailer"/>
    <x v="0"/>
    <s v="Product Type 4"/>
    <n v="23696934"/>
    <n v="0"/>
    <x v="0"/>
    <n v="6.3346013009963243E-4"/>
    <n v="0.16666666666666666"/>
    <s v="2M-5M"/>
  </r>
  <r>
    <s v="C025"/>
    <s v="Customer_025"/>
    <s v="INV35167"/>
    <d v="2025-04-09T00:00:00"/>
    <d v="2026-02-20T00:00:00"/>
    <n v="7214716"/>
    <s v="Retailer"/>
    <x v="5"/>
    <s v="Product Type 3"/>
    <n v="43288296"/>
    <n v="8"/>
    <x v="4"/>
    <n v="1.157171202652267E-3"/>
    <n v="0.16666666666666666"/>
    <s v="&gt;5M"/>
  </r>
  <r>
    <s v="C198"/>
    <s v="Customer_198"/>
    <s v="INV41232"/>
    <d v="2025-06-03T00:00:00"/>
    <d v="2025-11-06T00:00:00"/>
    <n v="1916359"/>
    <s v="Distributor"/>
    <x v="4"/>
    <s v="Product Type 4"/>
    <n v="5749077"/>
    <n v="114"/>
    <x v="3"/>
    <n v="3.0736559120878709E-4"/>
    <n v="0.33333333333333331"/>
    <s v="500K-2M"/>
  </r>
  <r>
    <s v="C150"/>
    <s v="Customer_150"/>
    <s v="INV19127"/>
    <d v="2025-09-14T00:00:00"/>
    <d v="2025-10-31T00:00:00"/>
    <n v="7214229"/>
    <s v="Retailer"/>
    <x v="5"/>
    <s v="Product Type 5"/>
    <n v="57713832"/>
    <n v="120"/>
    <x v="3"/>
    <n v="1.157093092526284E-3"/>
    <n v="0.125"/>
    <s v="&gt;5M"/>
  </r>
  <r>
    <s v="C006"/>
    <s v="Customer_006"/>
    <s v="INV22061"/>
    <d v="2025-06-28T00:00:00"/>
    <d v="2025-11-10T00:00:00"/>
    <n v="1364400"/>
    <s v="Export"/>
    <x v="0"/>
    <s v="Product Type 5"/>
    <n v="9550800"/>
    <n v="110"/>
    <x v="3"/>
    <n v="2.1883666507437757E-4"/>
    <n v="0.14285714285714285"/>
    <s v="500K-2M"/>
  </r>
  <r>
    <s v="C003"/>
    <s v="Customer_003"/>
    <s v="INV25666"/>
    <d v="2025-09-06T00:00:00"/>
    <d v="2025-09-30T00:00:00"/>
    <n v="6070290"/>
    <s v="Retailer"/>
    <x v="5"/>
    <s v="Product Type 5"/>
    <n v="42492030"/>
    <n v="151"/>
    <x v="3"/>
    <n v="9.7361625596184662E-4"/>
    <n v="0.14285714285714285"/>
    <s v="&gt;5M"/>
  </r>
  <r>
    <s v="C004"/>
    <s v="Customer_004"/>
    <s v="INV25965"/>
    <d v="2025-04-18T00:00:00"/>
    <d v="2025-10-25T00:00:00"/>
    <n v="5616072"/>
    <s v="Export"/>
    <x v="1"/>
    <s v="Product Type 1"/>
    <n v="16848216"/>
    <n v="126"/>
    <x v="3"/>
    <n v="9.0076404815126788E-4"/>
    <n v="0.33333333333333331"/>
    <s v="&gt;5M"/>
  </r>
  <r>
    <s v="C082"/>
    <s v="Customer_082"/>
    <s v="INV73347"/>
    <d v="2025-05-29T00:00:00"/>
    <d v="2025-10-12T00:00:00"/>
    <n v="5904490"/>
    <s v="Export"/>
    <x v="1"/>
    <s v="Product Type 1"/>
    <n v="29522450"/>
    <n v="139"/>
    <x v="3"/>
    <n v="9.4702352723908796E-4"/>
    <n v="0.2"/>
    <s v="&gt;5M"/>
  </r>
  <r>
    <s v="C137"/>
    <s v="Customer_137"/>
    <s v="INV87056"/>
    <d v="2025-08-02T00:00:00"/>
    <d v="2025-10-07T00:00:00"/>
    <n v="4404079"/>
    <s v="Retailer"/>
    <x v="3"/>
    <s v="Product Type 2"/>
    <n v="35232632"/>
    <n v="144"/>
    <x v="3"/>
    <n v="7.0637200313991479E-4"/>
    <n v="0.125"/>
    <s v="2M-5M"/>
  </r>
  <r>
    <s v="C022"/>
    <s v="Customer_022"/>
    <s v="INV62945"/>
    <d v="2025-06-05T00:00:00"/>
    <d v="2026-01-10T00:00:00"/>
    <n v="5809851"/>
    <s v="Distributor"/>
    <x v="2"/>
    <s v="Product Type 2"/>
    <n v="11619702"/>
    <n v="49"/>
    <x v="1"/>
    <n v="9.3184433994359251E-4"/>
    <n v="0.5"/>
    <s v="&gt;5M"/>
  </r>
  <r>
    <s v="C102"/>
    <s v="Customer_102"/>
    <s v="INV56082"/>
    <d v="2025-04-09T00:00:00"/>
    <d v="2025-12-28T00:00:00"/>
    <n v="2519606"/>
    <s v="Retailer"/>
    <x v="3"/>
    <s v="Product Type 3"/>
    <n v="25196060"/>
    <n v="62"/>
    <x v="2"/>
    <n v="4.041206203029846E-4"/>
    <n v="0.1"/>
    <s v="2M-5M"/>
  </r>
  <r>
    <s v="C152"/>
    <s v="Customer_152"/>
    <s v="INV32863"/>
    <d v="2025-10-22T00:00:00"/>
    <d v="2026-03-08T00:00:00"/>
    <n v="6547773"/>
    <s v="Distributor"/>
    <x v="2"/>
    <s v="Product Type 1"/>
    <n v="13095546"/>
    <n v="0"/>
    <x v="0"/>
    <n v="1.0501999464849403E-3"/>
    <n v="0.5"/>
    <s v="&gt;5M"/>
  </r>
  <r>
    <s v="C177"/>
    <s v="Customer_177"/>
    <s v="INV64638"/>
    <d v="2025-10-09T00:00:00"/>
    <d v="2026-04-16T00:00:00"/>
    <n v="4825034"/>
    <s v="Retailer"/>
    <x v="5"/>
    <s v="Product Type 1"/>
    <n v="38600272"/>
    <n v="0"/>
    <x v="0"/>
    <n v="7.7388914499449161E-4"/>
    <n v="0.125"/>
    <s v="2M-5M"/>
  </r>
  <r>
    <s v="C181"/>
    <s v="Customer_181"/>
    <s v="INV77947"/>
    <d v="2025-12-24T00:00:00"/>
    <d v="2026-01-26T00:00:00"/>
    <n v="3165896"/>
    <s v="Distributor"/>
    <x v="2"/>
    <s v="Product Type 3"/>
    <n v="12663584"/>
    <n v="33"/>
    <x v="1"/>
    <n v="5.0777933348894141E-4"/>
    <n v="0.25"/>
    <s v="2M-5M"/>
  </r>
  <r>
    <s v="C167"/>
    <s v="Customer_167"/>
    <s v="INV24679"/>
    <d v="2025-09-21T00:00:00"/>
    <d v="2026-01-30T00:00:00"/>
    <n v="5948418"/>
    <s v="Export"/>
    <x v="3"/>
    <s v="Product Type 3"/>
    <n v="41638926"/>
    <n v="29"/>
    <x v="4"/>
    <n v="9.5406915683699715E-4"/>
    <n v="0.14285714285714285"/>
    <s v="&gt;5M"/>
  </r>
  <r>
    <s v="C176"/>
    <s v="Customer_176"/>
    <s v="INV53353"/>
    <d v="2025-10-28T00:00:00"/>
    <d v="2025-09-21T00:00:00"/>
    <n v="6149801"/>
    <s v="Retailer"/>
    <x v="5"/>
    <s v="Product Type 5"/>
    <n v="24599204"/>
    <n v="160"/>
    <x v="3"/>
    <n v="9.8636905724939334E-4"/>
    <n v="0.25"/>
    <s v="&gt;5M"/>
  </r>
  <r>
    <s v="C112"/>
    <s v="Customer_112"/>
    <s v="INV57671"/>
    <d v="2025-06-01T00:00:00"/>
    <d v="2025-11-28T00:00:00"/>
    <n v="4444162"/>
    <s v="Distributor"/>
    <x v="2"/>
    <s v="Product Type 1"/>
    <n v="35553296"/>
    <n v="92"/>
    <x v="3"/>
    <n v="7.128009316404837E-4"/>
    <n v="0.125"/>
    <s v="2M-5M"/>
  </r>
  <r>
    <s v="C128"/>
    <s v="Customer_128"/>
    <s v="INV24405"/>
    <d v="2025-05-25T00:00:00"/>
    <d v="2026-03-30T00:00:00"/>
    <n v="3639237"/>
    <s v="Distributor"/>
    <x v="1"/>
    <s v="Product Type 3"/>
    <n v="21835422"/>
    <n v="0"/>
    <x v="0"/>
    <n v="5.8369868696517345E-4"/>
    <n v="0.16666666666666666"/>
    <s v="2M-5M"/>
  </r>
  <r>
    <s v="C013"/>
    <s v="Customer_013"/>
    <s v="INV16537"/>
    <d v="2026-01-24T00:00:00"/>
    <d v="2026-02-06T00:00:00"/>
    <n v="6577097"/>
    <s v="Retailer"/>
    <x v="0"/>
    <s v="Product Type 6"/>
    <n v="65770970"/>
    <n v="22"/>
    <x v="4"/>
    <n v="1.0549032346457736E-3"/>
    <n v="0.1"/>
    <s v="&gt;5M"/>
  </r>
  <r>
    <s v="C161"/>
    <s v="Customer_161"/>
    <s v="INV11182"/>
    <d v="2025-03-24T00:00:00"/>
    <d v="2026-01-05T00:00:00"/>
    <n v="4449798"/>
    <s v="Distributor"/>
    <x v="0"/>
    <s v="Product Type 2"/>
    <n v="8899596"/>
    <n v="54"/>
    <x v="1"/>
    <n v="7.1370489194857458E-4"/>
    <n v="0.5"/>
    <s v="2M-5M"/>
  </r>
  <r>
    <s v="C044"/>
    <s v="Customer_044"/>
    <s v="INV59559"/>
    <d v="2025-11-27T00:00:00"/>
    <d v="2025-11-16T00:00:00"/>
    <n v="2085447"/>
    <s v="Retailer"/>
    <x v="5"/>
    <s v="Product Type 1"/>
    <n v="14598129"/>
    <n v="104"/>
    <x v="3"/>
    <n v="3.3448568357473288E-4"/>
    <n v="0.14285714285714285"/>
    <s v="2M-5M"/>
  </r>
  <r>
    <s v="C079"/>
    <s v="Customer_079"/>
    <s v="INV20494"/>
    <d v="2025-03-26T00:00:00"/>
    <d v="2026-01-14T00:00:00"/>
    <n v="2453768"/>
    <s v="Export"/>
    <x v="0"/>
    <s v="Product Type 4"/>
    <n v="24537680"/>
    <n v="45"/>
    <x v="1"/>
    <n v="3.9356083698785207E-4"/>
    <n v="0.1"/>
    <s v="2M-5M"/>
  </r>
  <r>
    <s v="C119"/>
    <s v="Customer_119"/>
    <s v="INV57092"/>
    <d v="2025-06-07T00:00:00"/>
    <d v="2026-03-04T00:00:00"/>
    <n v="2866162"/>
    <s v="Distributor"/>
    <x v="2"/>
    <s v="Product Type 3"/>
    <n v="5732324"/>
    <n v="0"/>
    <x v="0"/>
    <n v="4.5970487660723262E-4"/>
    <n v="0.5"/>
    <s v="2M-5M"/>
  </r>
  <r>
    <s v="C036"/>
    <s v="Customer_036"/>
    <s v="INV57070"/>
    <d v="2025-12-09T00:00:00"/>
    <d v="2025-09-01T00:00:00"/>
    <n v="1900888"/>
    <s v="Distributor"/>
    <x v="4"/>
    <s v="Product Type 5"/>
    <n v="17107992"/>
    <n v="180"/>
    <x v="3"/>
    <n v="3.0488419129280522E-4"/>
    <n v="0.1111111111111111"/>
    <s v="500K-2M"/>
  </r>
  <r>
    <s v="C014"/>
    <s v="Customer_014"/>
    <s v="INV31419"/>
    <d v="2025-04-25T00:00:00"/>
    <d v="2025-10-19T00:00:00"/>
    <n v="7824546"/>
    <s v="Distributor"/>
    <x v="4"/>
    <s v="Product Type 2"/>
    <n v="39122730"/>
    <n v="132"/>
    <x v="3"/>
    <n v="1.2549820817656559E-3"/>
    <n v="0.2"/>
    <s v="&gt;5M"/>
  </r>
  <r>
    <s v="C136"/>
    <s v="Customer_136"/>
    <s v="INV88655"/>
    <d v="2025-03-24T00:00:00"/>
    <d v="2026-04-16T00:00:00"/>
    <n v="6834800"/>
    <s v="Distributor"/>
    <x v="2"/>
    <s v="Product Type 6"/>
    <n v="34174000"/>
    <n v="0"/>
    <x v="0"/>
    <n v="1.0962363225229814E-3"/>
    <n v="0.2"/>
    <s v="&gt;5M"/>
  </r>
  <r>
    <s v="C188"/>
    <s v="Customer_188"/>
    <s v="INV29642"/>
    <d v="2025-03-10T00:00:00"/>
    <d v="2026-01-06T00:00:00"/>
    <n v="4429673"/>
    <s v="Distributor"/>
    <x v="2"/>
    <s v="Product Type 2"/>
    <n v="35437384"/>
    <n v="53"/>
    <x v="1"/>
    <n v="7.1047703509968731E-4"/>
    <n v="0.125"/>
    <s v="2M-5M"/>
  </r>
  <r>
    <s v="C185"/>
    <s v="Customer_185"/>
    <s v="INV55947"/>
    <d v="2026-01-04T00:00:00"/>
    <d v="2025-12-04T00:00:00"/>
    <n v="5479520"/>
    <s v="Distributor"/>
    <x v="0"/>
    <s v="Product Type 5"/>
    <n v="21918080"/>
    <n v="86"/>
    <x v="2"/>
    <n v="8.7886241791875798E-4"/>
    <n v="0.25"/>
    <s v="&gt;5M"/>
  </r>
  <r>
    <s v="C080"/>
    <s v="Customer_080"/>
    <s v="INV44248"/>
    <d v="2025-11-06T00:00:00"/>
    <d v="2025-11-17T00:00:00"/>
    <n v="1817078"/>
    <s v="Retailer"/>
    <x v="5"/>
    <s v="Product Type 4"/>
    <n v="16353702"/>
    <n v="103"/>
    <x v="3"/>
    <n v="2.9144187166521541E-4"/>
    <n v="0.1111111111111111"/>
    <s v="500K-2M"/>
  </r>
  <r>
    <s v="C145"/>
    <s v="Customer_145"/>
    <s v="INV25173"/>
    <d v="2025-09-25T00:00:00"/>
    <d v="2025-12-31T00:00:00"/>
    <n v="6422092"/>
    <s v="Export"/>
    <x v="4"/>
    <s v="Product Type 6"/>
    <n v="38532552"/>
    <n v="59"/>
    <x v="1"/>
    <n v="1.0300419203172382E-3"/>
    <n v="0.16666666666666666"/>
    <s v="&gt;5M"/>
  </r>
  <r>
    <s v="C125"/>
    <s v="Customer_125"/>
    <s v="INV29236"/>
    <d v="2025-08-26T00:00:00"/>
    <d v="2025-09-09T00:00:00"/>
    <n v="5557809"/>
    <s v="Distributor"/>
    <x v="0"/>
    <s v="Product Type 6"/>
    <n v="16673427"/>
    <n v="172"/>
    <x v="3"/>
    <n v="8.9141922213453631E-4"/>
    <n v="0.33333333333333331"/>
    <s v="&gt;5M"/>
  </r>
  <r>
    <s v="C003"/>
    <s v="Customer_003"/>
    <s v="INV72419"/>
    <d v="2025-10-11T00:00:00"/>
    <d v="2026-03-20T00:00:00"/>
    <n v="4131401"/>
    <s v="Retailer"/>
    <x v="3"/>
    <s v="Product Type 1"/>
    <n v="8262802"/>
    <n v="0"/>
    <x v="0"/>
    <n v="6.6263706898632999E-4"/>
    <n v="0.5"/>
    <s v="2M-5M"/>
  </r>
  <r>
    <s v="C165"/>
    <s v="Customer_165"/>
    <s v="INV47141"/>
    <d v="2025-10-03T00:00:00"/>
    <d v="2025-09-20T00:00:00"/>
    <n v="6806778"/>
    <s v="Retailer"/>
    <x v="4"/>
    <s v="Product Type 4"/>
    <n v="61261002"/>
    <n v="161"/>
    <x v="3"/>
    <n v="1.0917418626661109E-3"/>
    <n v="0.1111111111111111"/>
    <s v="&gt;5M"/>
  </r>
  <r>
    <s v="C089"/>
    <s v="Customer_089"/>
    <s v="INV47385"/>
    <d v="2025-11-11T00:00:00"/>
    <d v="2026-02-17T00:00:00"/>
    <n v="7692457"/>
    <s v="Distributor"/>
    <x v="4"/>
    <s v="Product Type 6"/>
    <n v="69232113"/>
    <n v="11"/>
    <x v="4"/>
    <n v="1.2337962738991875E-3"/>
    <n v="0.1111111111111111"/>
    <s v="&gt;5M"/>
  </r>
  <r>
    <s v="C002"/>
    <s v="Customer_002"/>
    <s v="INV87316"/>
    <d v="2025-12-09T00:00:00"/>
    <d v="2026-03-25T00:00:00"/>
    <n v="4001297"/>
    <s v="Distributor"/>
    <x v="2"/>
    <s v="Product Type 6"/>
    <n v="12003891"/>
    <n v="0"/>
    <x v="0"/>
    <n v="6.4176963606868355E-4"/>
    <n v="0.33333333333333331"/>
    <s v="2M-5M"/>
  </r>
  <r>
    <s v="C013"/>
    <s v="Customer_013"/>
    <s v="INV46368"/>
    <d v="2025-06-11T00:00:00"/>
    <d v="2025-12-11T00:00:00"/>
    <n v="7081999"/>
    <s v="Retailer"/>
    <x v="2"/>
    <s v="Product Type 4"/>
    <n v="70819990"/>
    <n v="79"/>
    <x v="2"/>
    <n v="1.1358846696130731E-3"/>
    <n v="0.1"/>
    <s v="&gt;5M"/>
  </r>
  <r>
    <s v="C106"/>
    <s v="Customer_106"/>
    <s v="INV64419"/>
    <d v="2025-03-05T00:00:00"/>
    <d v="2025-11-16T00:00:00"/>
    <n v="1133160"/>
    <s v="Distributor"/>
    <x v="2"/>
    <s v="Product Type 5"/>
    <n v="7932120"/>
    <n v="104"/>
    <x v="3"/>
    <n v="1.8174798841665325E-4"/>
    <n v="0.14285714285714285"/>
    <s v="500K-2M"/>
  </r>
  <r>
    <s v="C042"/>
    <s v="Customer_042"/>
    <s v="INV29029"/>
    <d v="2025-12-25T00:00:00"/>
    <d v="2026-04-11T00:00:00"/>
    <n v="1920902"/>
    <s v="Retailer"/>
    <x v="2"/>
    <s v="Product Type 1"/>
    <n v="9604510"/>
    <n v="0"/>
    <x v="0"/>
    <n v="3.0809424480702287E-4"/>
    <n v="0.2"/>
    <s v="500K-2M"/>
  </r>
  <r>
    <s v="C095"/>
    <s v="Customer_095"/>
    <s v="INV41758"/>
    <d v="2026-01-11T00:00:00"/>
    <d v="2026-03-25T00:00:00"/>
    <n v="5839753"/>
    <s v="Retailer"/>
    <x v="1"/>
    <s v="Product Type 6"/>
    <n v="40878271"/>
    <n v="0"/>
    <x v="0"/>
    <n v="9.3664033375703002E-4"/>
    <n v="0.14285714285714285"/>
    <s v="&gt;5M"/>
  </r>
  <r>
    <s v="C004"/>
    <s v="Customer_004"/>
    <s v="INV85495"/>
    <d v="2025-03-10T00:00:00"/>
    <d v="2025-09-19T00:00:00"/>
    <n v="2504123"/>
    <s v="Distributor"/>
    <x v="3"/>
    <s v="Product Type 6"/>
    <n v="15024738"/>
    <n v="162"/>
    <x v="3"/>
    <n v="4.0163729570217357E-4"/>
    <n v="0.16666666666666666"/>
    <s v="2M-5M"/>
  </r>
  <r>
    <s v="C036"/>
    <s v="Customer_036"/>
    <s v="INV30676"/>
    <d v="2026-01-21T00:00:00"/>
    <d v="2026-01-30T00:00:00"/>
    <n v="7587801"/>
    <s v="Export"/>
    <x v="5"/>
    <s v="Product Type 2"/>
    <n v="22763403"/>
    <n v="29"/>
    <x v="4"/>
    <n v="1.2170104559425588E-3"/>
    <n v="0.33333333333333331"/>
    <s v="&gt;5M"/>
  </r>
  <r>
    <s v="C145"/>
    <s v="Customer_145"/>
    <s v="INV23115"/>
    <d v="2025-06-06T00:00:00"/>
    <d v="2025-11-06T00:00:00"/>
    <n v="7705640"/>
    <s v="Distributor"/>
    <x v="1"/>
    <s v="Product Type 5"/>
    <n v="69350760"/>
    <n v="114"/>
    <x v="3"/>
    <n v="1.2359107005744114E-3"/>
    <n v="0.1111111111111111"/>
    <s v="&gt;5M"/>
  </r>
  <r>
    <s v="C188"/>
    <s v="Customer_188"/>
    <s v="INV84751"/>
    <d v="2025-04-22T00:00:00"/>
    <d v="2025-09-19T00:00:00"/>
    <n v="7135232"/>
    <s v="Distributor"/>
    <x v="4"/>
    <s v="Product Type 4"/>
    <n v="35676160"/>
    <n v="162"/>
    <x v="3"/>
    <n v="1.1444227319055858E-3"/>
    <n v="0.2"/>
    <s v="&gt;5M"/>
  </r>
  <r>
    <s v="C115"/>
    <s v="Customer_115"/>
    <s v="INV34351"/>
    <d v="2025-04-27T00:00:00"/>
    <d v="2026-04-16T00:00:00"/>
    <n v="4826217"/>
    <s v="Distributor"/>
    <x v="4"/>
    <s v="Product Type 4"/>
    <n v="48262170"/>
    <n v="0"/>
    <x v="0"/>
    <n v="7.7407888684056538E-4"/>
    <n v="0.1"/>
    <s v="2M-5M"/>
  </r>
  <r>
    <s v="C132"/>
    <s v="Customer_132"/>
    <s v="INV13785"/>
    <d v="2025-05-15T00:00:00"/>
    <d v="2025-10-31T00:00:00"/>
    <n v="4207604"/>
    <s v="Distributor"/>
    <x v="1"/>
    <s v="Product Type 2"/>
    <n v="12622812"/>
    <n v="120"/>
    <x v="3"/>
    <n v="6.7485929882264099E-4"/>
    <n v="0.33333333333333331"/>
    <s v="2M-5M"/>
  </r>
  <r>
    <s v="C172"/>
    <s v="Customer_172"/>
    <s v="INV94623"/>
    <d v="2025-09-03T00:00:00"/>
    <d v="2026-02-16T00:00:00"/>
    <n v="5947352"/>
    <s v="Distributor"/>
    <x v="4"/>
    <s v="Product Type 5"/>
    <n v="17842056"/>
    <n v="12"/>
    <x v="4"/>
    <n v="9.5389818066800769E-4"/>
    <n v="0.33333333333333331"/>
    <s v="&gt;5M"/>
  </r>
  <r>
    <s v="C141"/>
    <s v="Customer_141"/>
    <s v="INV94238"/>
    <d v="2025-10-09T00:00:00"/>
    <d v="2025-12-04T00:00:00"/>
    <n v="7642530"/>
    <s v="Distributor"/>
    <x v="1"/>
    <s v="Product Type 3"/>
    <n v="15285060"/>
    <n v="86"/>
    <x v="2"/>
    <n v="1.2257884622771057E-3"/>
    <n v="0.5"/>
    <s v="&gt;5M"/>
  </r>
  <r>
    <s v="C148"/>
    <s v="Customer_148"/>
    <s v="INV70638"/>
    <d v="2025-04-26T00:00:00"/>
    <d v="2025-10-25T00:00:00"/>
    <n v="1105061"/>
    <s v="Distributor"/>
    <x v="2"/>
    <s v="Product Type 2"/>
    <n v="9945549"/>
    <n v="126"/>
    <x v="3"/>
    <n v="1.7724117849879563E-4"/>
    <n v="0.1111111111111111"/>
    <s v="500K-2M"/>
  </r>
  <r>
    <s v="C076"/>
    <s v="Customer_076"/>
    <s v="INV26939"/>
    <d v="2025-10-10T00:00:00"/>
    <d v="2026-02-17T00:00:00"/>
    <n v="6012545"/>
    <s v="Distributor"/>
    <x v="4"/>
    <s v="Product Type 2"/>
    <n v="30062725"/>
    <n v="11"/>
    <x v="4"/>
    <n v="9.6435451217357336E-4"/>
    <n v="0.2"/>
    <s v="&gt;5M"/>
  </r>
  <r>
    <s v="C110"/>
    <s v="Customer_110"/>
    <s v="INV12800"/>
    <d v="2025-04-14T00:00:00"/>
    <d v="2025-10-17T00:00:00"/>
    <n v="3602036"/>
    <s v="Distributor"/>
    <x v="2"/>
    <s v="Product Type 4"/>
    <n v="21612216"/>
    <n v="134"/>
    <x v="3"/>
    <n v="5.7773200360440537E-4"/>
    <n v="0.16666666666666666"/>
    <s v="2M-5M"/>
  </r>
  <r>
    <s v="C041"/>
    <s v="Customer_041"/>
    <s v="INV28491"/>
    <d v="2025-12-02T00:00:00"/>
    <d v="2025-11-03T00:00:00"/>
    <n v="3914535"/>
    <s v="Retailer"/>
    <x v="0"/>
    <s v="Product Type 4"/>
    <n v="35230815"/>
    <n v="117"/>
    <x v="3"/>
    <n v="6.2785384397312277E-4"/>
    <n v="0.1111111111111111"/>
    <s v="2M-5M"/>
  </r>
  <r>
    <s v="C153"/>
    <s v="Customer_153"/>
    <s v="INV75267"/>
    <d v="2025-10-14T00:00:00"/>
    <d v="2025-10-19T00:00:00"/>
    <n v="1014552"/>
    <s v="Distributor"/>
    <x v="4"/>
    <s v="Product Type 1"/>
    <n v="2029104"/>
    <n v="132"/>
    <x v="3"/>
    <n v="1.6272440356533268E-4"/>
    <n v="0.5"/>
    <s v="500K-2M"/>
  </r>
  <r>
    <s v="C053"/>
    <s v="Customer_053"/>
    <s v="INV78391"/>
    <d v="2025-09-22T00:00:00"/>
    <d v="2025-12-26T00:00:00"/>
    <n v="7627181"/>
    <s v="Distributor"/>
    <x v="3"/>
    <s v="Product Type 2"/>
    <n v="61017448"/>
    <n v="64"/>
    <x v="2"/>
    <n v="1.22332662999022E-3"/>
    <n v="0.125"/>
    <s v="&gt;5M"/>
  </r>
  <r>
    <s v="C194"/>
    <s v="Customer_194"/>
    <s v="INV75771"/>
    <d v="2025-04-15T00:00:00"/>
    <d v="2025-10-29T00:00:00"/>
    <n v="7080837"/>
    <s v="Distributor"/>
    <x v="0"/>
    <s v="Product Type 1"/>
    <n v="70808370"/>
    <n v="122"/>
    <x v="3"/>
    <n v="1.1356982959654504E-3"/>
    <n v="0.1"/>
    <s v="&gt;5M"/>
  </r>
  <r>
    <s v="C050"/>
    <s v="Customer_050"/>
    <s v="INV72194"/>
    <d v="2025-08-11T00:00:00"/>
    <d v="2026-01-29T00:00:00"/>
    <n v="1176873"/>
    <s v="Distributor"/>
    <x v="2"/>
    <s v="Product Type 3"/>
    <n v="3530619"/>
    <n v="30"/>
    <x v="4"/>
    <n v="1.8875913407804013E-4"/>
    <n v="0.33333333333333331"/>
    <s v="500K-2M"/>
  </r>
  <r>
    <s v="C036"/>
    <s v="Customer_036"/>
    <s v="INV82753"/>
    <d v="2025-05-10T00:00:00"/>
    <d v="2026-02-02T00:00:00"/>
    <n v="2059453"/>
    <s v="Retailer"/>
    <x v="0"/>
    <s v="Product Type 6"/>
    <n v="8237812"/>
    <n v="26"/>
    <x v="4"/>
    <n v="3.3031649545398864E-4"/>
    <n v="0.25"/>
    <s v="2M-5M"/>
  </r>
  <r>
    <s v="C036"/>
    <s v="Customer_036"/>
    <s v="INV47347"/>
    <d v="2025-05-08T00:00:00"/>
    <d v="2026-03-03T00:00:00"/>
    <n v="1712349"/>
    <s v="Distributor"/>
    <x v="1"/>
    <s v="Product Type 5"/>
    <n v="11986443"/>
    <n v="0"/>
    <x v="0"/>
    <n v="2.7464434520920947E-4"/>
    <n v="0.14285714285714285"/>
    <s v="500K-2M"/>
  </r>
  <r>
    <s v="C167"/>
    <s v="Customer_167"/>
    <s v="INV90558"/>
    <d v="2025-04-19T00:00:00"/>
    <d v="2026-02-03T00:00:00"/>
    <n v="4667394"/>
    <s v="Export"/>
    <x v="3"/>
    <s v="Product Type 2"/>
    <n v="18669576"/>
    <n v="25"/>
    <x v="4"/>
    <n v="7.486052019555552E-4"/>
    <n v="0.25"/>
    <s v="2M-5M"/>
  </r>
  <r>
    <s v="C189"/>
    <s v="Customer_189"/>
    <s v="INV88991"/>
    <d v="2025-03-02T00:00:00"/>
    <d v="2025-10-05T00:00:00"/>
    <n v="1682387"/>
    <s v="Distributor"/>
    <x v="3"/>
    <s v="Product Type 2"/>
    <n v="5047161"/>
    <n v="146"/>
    <x v="3"/>
    <n v="2.6983872797162629E-4"/>
    <n v="0.33333333333333331"/>
    <s v="500K-2M"/>
  </r>
  <r>
    <s v="C095"/>
    <s v="Customer_095"/>
    <s v="INV50515"/>
    <d v="2025-12-08T00:00:00"/>
    <d v="2025-12-19T00:00:00"/>
    <n v="4142447"/>
    <s v="Distributor"/>
    <x v="5"/>
    <s v="Product Type 4"/>
    <n v="24854682"/>
    <n v="71"/>
    <x v="2"/>
    <n v="6.6440874137156268E-4"/>
    <n v="0.16666666666666666"/>
    <s v="2M-5M"/>
  </r>
  <r>
    <s v="C134"/>
    <s v="Customer_134"/>
    <s v="INV32330"/>
    <d v="2025-03-26T00:00:00"/>
    <d v="2026-03-17T00:00:00"/>
    <n v="6328937"/>
    <s v="Export"/>
    <x v="2"/>
    <s v="Product Type 5"/>
    <n v="50631496"/>
    <n v="0"/>
    <x v="0"/>
    <n v="1.0151007523789475E-3"/>
    <n v="0.125"/>
    <s v="&gt;5M"/>
  </r>
  <r>
    <s v="C084"/>
    <s v="Customer_084"/>
    <s v="INV84325"/>
    <d v="2025-09-20T00:00:00"/>
    <d v="2026-01-03T00:00:00"/>
    <n v="7816055"/>
    <s v="Distributor"/>
    <x v="2"/>
    <s v="Product Type 4"/>
    <n v="54712385"/>
    <n v="56"/>
    <x v="1"/>
    <n v="1.2536202068586296E-3"/>
    <n v="0.14285714285714285"/>
    <s v="&gt;5M"/>
  </r>
  <r>
    <s v="C100"/>
    <s v="Customer_100"/>
    <s v="INV92990"/>
    <d v="2025-11-25T00:00:00"/>
    <d v="2025-09-29T00:00:00"/>
    <n v="5341041"/>
    <s v="Retailer"/>
    <x v="5"/>
    <s v="Product Type 6"/>
    <n v="37387287"/>
    <n v="152"/>
    <x v="3"/>
    <n v="8.5665171538076715E-4"/>
    <n v="0.14285714285714285"/>
    <s v="&gt;5M"/>
  </r>
  <r>
    <s v="C063"/>
    <s v="Customer_063"/>
    <s v="INV19033"/>
    <d v="2025-10-05T00:00:00"/>
    <d v="2025-10-14T00:00:00"/>
    <n v="7798870"/>
    <s v="Distributor"/>
    <x v="0"/>
    <s v="Product Type 3"/>
    <n v="38994350"/>
    <n v="137"/>
    <x v="3"/>
    <n v="1.2508638977928842E-3"/>
    <n v="0.2"/>
    <s v="&gt;5M"/>
  </r>
  <r>
    <s v="C089"/>
    <s v="Customer_089"/>
    <s v="INV60459"/>
    <d v="2025-03-07T00:00:00"/>
    <d v="2025-10-02T00:00:00"/>
    <n v="6614253"/>
    <s v="Retailer"/>
    <x v="5"/>
    <s v="Product Type 4"/>
    <n v="46299771"/>
    <n v="149"/>
    <x v="3"/>
    <n v="1.0608627004384324E-3"/>
    <n v="0.14285714285714285"/>
    <s v="&gt;5M"/>
  </r>
  <r>
    <s v="C186"/>
    <s v="Customer_186"/>
    <s v="INV78280"/>
    <d v="2025-12-08T00:00:00"/>
    <d v="2025-12-15T00:00:00"/>
    <n v="2031730"/>
    <s v="Retailer"/>
    <x v="2"/>
    <s v="Product Type 5"/>
    <n v="16253840"/>
    <n v="75"/>
    <x v="2"/>
    <n v="3.258699923274444E-4"/>
    <n v="0.125"/>
    <s v="2M-5M"/>
  </r>
  <r>
    <s v="C077"/>
    <s v="Customer_077"/>
    <s v="INV53016"/>
    <d v="2025-04-28T00:00:00"/>
    <d v="2025-10-13T00:00:00"/>
    <n v="6182907"/>
    <s v="Distributor"/>
    <x v="0"/>
    <s v="Product Type 3"/>
    <n v="61829070"/>
    <n v="138"/>
    <x v="3"/>
    <n v="9.9167894191221398E-4"/>
    <n v="0.1"/>
    <s v="&gt;5M"/>
  </r>
  <r>
    <s v="C048"/>
    <s v="Customer_048"/>
    <s v="INV82315"/>
    <d v="2025-04-19T00:00:00"/>
    <d v="2026-03-05T00:00:00"/>
    <n v="408564"/>
    <s v="Distributor"/>
    <x v="0"/>
    <s v="Product Type 2"/>
    <n v="817128"/>
    <n v="0"/>
    <x v="0"/>
    <n v="6.5529744378076813E-5"/>
    <n v="0.5"/>
    <s v="&lt;500K"/>
  </r>
  <r>
    <s v="C033"/>
    <s v="Customer_033"/>
    <s v="INV60791"/>
    <d v="2025-12-31T00:00:00"/>
    <d v="2025-10-22T00:00:00"/>
    <n v="4682234"/>
    <s v="Distributor"/>
    <x v="3"/>
    <s v="Product Type 1"/>
    <n v="28093404"/>
    <n v="129"/>
    <x v="3"/>
    <n v="7.5098539552760429E-4"/>
    <n v="0.16666666666666666"/>
    <s v="2M-5M"/>
  </r>
  <r>
    <s v="C179"/>
    <s v="Customer_179"/>
    <s v="INV90067"/>
    <d v="2025-07-25T00:00:00"/>
    <d v="2025-09-14T00:00:00"/>
    <n v="2899490"/>
    <s v="Retailer"/>
    <x v="3"/>
    <s v="Product Type 4"/>
    <n v="11597960"/>
    <n v="167"/>
    <x v="3"/>
    <n v="4.6505036793939244E-4"/>
    <n v="0.25"/>
    <s v="2M-5M"/>
  </r>
  <r>
    <s v="C066"/>
    <s v="Customer_066"/>
    <s v="INV23111"/>
    <d v="2025-09-11T00:00:00"/>
    <d v="2026-02-11T00:00:00"/>
    <n v="4694204"/>
    <s v="Retailer"/>
    <x v="2"/>
    <s v="Product Type 3"/>
    <n v="32859428"/>
    <n v="17"/>
    <x v="4"/>
    <n v="7.5290526864468159E-4"/>
    <n v="0.14285714285714285"/>
    <s v="2M-5M"/>
  </r>
  <r>
    <s v="C058"/>
    <s v="Customer_058"/>
    <s v="INV74802"/>
    <d v="2025-11-15T00:00:00"/>
    <d v="2026-01-28T00:00:00"/>
    <n v="3739243"/>
    <s v="Distributor"/>
    <x v="1"/>
    <s v="Product Type 6"/>
    <n v="14956972"/>
    <n v="31"/>
    <x v="1"/>
    <n v="5.9973868955050637E-4"/>
    <n v="0.25"/>
    <s v="2M-5M"/>
  </r>
  <r>
    <s v="C087"/>
    <s v="Customer_087"/>
    <s v="INV74772"/>
    <d v="2025-12-06T00:00:00"/>
    <d v="2025-12-08T00:00:00"/>
    <n v="7624011"/>
    <s v="Retailer"/>
    <x v="4"/>
    <s v="Product Type 4"/>
    <n v="38120055"/>
    <n v="82"/>
    <x v="2"/>
    <n v="1.2228181924145195E-3"/>
    <n v="0.2"/>
    <s v="&gt;5M"/>
  </r>
  <r>
    <s v="C199"/>
    <s v="Customer_199"/>
    <s v="INV72313"/>
    <d v="2025-06-29T00:00:00"/>
    <d v="2025-09-13T00:00:00"/>
    <n v="5265498"/>
    <s v="Retailer"/>
    <x v="0"/>
    <s v="Product Type 5"/>
    <n v="10530996"/>
    <n v="168"/>
    <x v="3"/>
    <n v="8.4453534321005932E-4"/>
    <n v="0.5"/>
    <s v="&gt;5M"/>
  </r>
  <r>
    <s v="C154"/>
    <s v="Customer_154"/>
    <s v="INV49696"/>
    <d v="2025-10-14T00:00:00"/>
    <d v="2025-09-08T00:00:00"/>
    <n v="7832374"/>
    <s v="Retailer"/>
    <x v="4"/>
    <s v="Product Type 2"/>
    <n v="15664748"/>
    <n v="173"/>
    <x v="3"/>
    <n v="1.2562376178358715E-3"/>
    <n v="0.5"/>
    <s v="&gt;5M"/>
  </r>
  <r>
    <s v="C055"/>
    <s v="Customer_055"/>
    <s v="INV24669"/>
    <d v="2025-12-02T00:00:00"/>
    <d v="2025-12-01T00:00:00"/>
    <n v="6709457"/>
    <s v="Distributor"/>
    <x v="4"/>
    <s v="Product Type 4"/>
    <n v="67094570"/>
    <n v="89"/>
    <x v="2"/>
    <n v="1.0761325083113004E-3"/>
    <n v="0.1"/>
    <s v="&gt;5M"/>
  </r>
  <r>
    <s v="C177"/>
    <s v="Customer_177"/>
    <s v="INV29236"/>
    <d v="2025-03-04T00:00:00"/>
    <d v="2025-11-13T00:00:00"/>
    <n v="7847683"/>
    <s v="Distributor"/>
    <x v="2"/>
    <s v="Product Type 1"/>
    <n v="39238415"/>
    <n v="107"/>
    <x v="3"/>
    <n v="1.2586930345066599E-3"/>
    <n v="0.2"/>
    <s v="&gt;5M"/>
  </r>
  <r>
    <s v="C056"/>
    <s v="Customer_056"/>
    <s v="INV39649"/>
    <d v="2025-03-01T00:00:00"/>
    <d v="2026-02-14T00:00:00"/>
    <n v="3836807"/>
    <s v="Distributor"/>
    <x v="3"/>
    <s v="Product Type 1"/>
    <n v="38368070"/>
    <n v="14"/>
    <x v="4"/>
    <n v="6.1538701877310721E-4"/>
    <n v="0.1"/>
    <s v="2M-5M"/>
  </r>
  <r>
    <s v="C077"/>
    <s v="Customer_077"/>
    <s v="INV74558"/>
    <d v="2025-08-04T00:00:00"/>
    <d v="2025-12-11T00:00:00"/>
    <n v="6438669"/>
    <s v="Distributor"/>
    <x v="0"/>
    <s v="Product Type 5"/>
    <n v="38632014"/>
    <n v="79"/>
    <x v="2"/>
    <n v="1.0327007120183066E-3"/>
    <n v="0.16666666666666666"/>
    <s v="&gt;5M"/>
  </r>
  <r>
    <s v="C188"/>
    <s v="Customer_188"/>
    <s v="INV10280"/>
    <d v="2025-03-14T00:00:00"/>
    <d v="2026-01-31T00:00:00"/>
    <n v="5496699"/>
    <s v="Distributor"/>
    <x v="5"/>
    <s v="Product Type 6"/>
    <n v="21986796"/>
    <n v="28"/>
    <x v="4"/>
    <n v="8.8161776464208892E-4"/>
    <n v="0.25"/>
    <s v="&gt;5M"/>
  </r>
  <r>
    <s v="C105"/>
    <s v="Customer_105"/>
    <s v="INV96476"/>
    <d v="2026-01-13T00:00:00"/>
    <d v="2026-01-18T00:00:00"/>
    <n v="764029"/>
    <s v="Distributor"/>
    <x v="3"/>
    <s v="Product Type 2"/>
    <n v="3056116"/>
    <n v="41"/>
    <x v="1"/>
    <n v="1.2254291877756643E-4"/>
    <n v="0.25"/>
    <s v="500K-2M"/>
  </r>
  <r>
    <s v="C056"/>
    <s v="Customer_056"/>
    <s v="INV80043"/>
    <d v="2025-10-24T00:00:00"/>
    <d v="2026-03-29T00:00:00"/>
    <n v="3456091"/>
    <s v="Retailer"/>
    <x v="1"/>
    <s v="Product Type 4"/>
    <n v="27648728"/>
    <n v="0"/>
    <x v="0"/>
    <n v="5.5432382632187823E-4"/>
    <n v="0.125"/>
    <s v="2M-5M"/>
  </r>
  <r>
    <s v="C161"/>
    <s v="Customer_161"/>
    <s v="INV86622"/>
    <d v="2025-07-23T00:00:00"/>
    <d v="2026-02-06T00:00:00"/>
    <n v="499860"/>
    <s v="Distributor"/>
    <x v="4"/>
    <s v="Product Type 5"/>
    <n v="1999440"/>
    <n v="22"/>
    <x v="4"/>
    <n v="8.0172746558251529E-5"/>
    <n v="0.25"/>
    <s v="&lt;500K"/>
  </r>
  <r>
    <s v="C175"/>
    <s v="Customer_175"/>
    <s v="INV83812"/>
    <d v="2025-03-03T00:00:00"/>
    <d v="2025-10-21T00:00:00"/>
    <n v="6683880"/>
    <s v="Export"/>
    <x v="5"/>
    <s v="Product Type 6"/>
    <n v="66838800"/>
    <n v="130"/>
    <x v="3"/>
    <n v="1.072030202988369E-3"/>
    <n v="0.1"/>
    <s v="&gt;5M"/>
  </r>
  <r>
    <s v="C104"/>
    <s v="Customer_104"/>
    <s v="INV90847"/>
    <d v="2025-04-10T00:00:00"/>
    <d v="2026-04-06T00:00:00"/>
    <n v="4439362"/>
    <s v="Distributor"/>
    <x v="1"/>
    <s v="Product Type 1"/>
    <n v="17757448"/>
    <n v="0"/>
    <x v="0"/>
    <n v="7.1203105770882363E-4"/>
    <n v="0.25"/>
    <s v="2M-5M"/>
  </r>
  <r>
    <s v="C159"/>
    <s v="Customer_159"/>
    <s v="INV41061"/>
    <d v="2025-09-23T00:00:00"/>
    <d v="2025-10-31T00:00:00"/>
    <n v="2075343"/>
    <s v="Export"/>
    <x v="5"/>
    <s v="Product Type 3"/>
    <n v="14527401"/>
    <n v="120"/>
    <x v="3"/>
    <n v="3.3286509894858837E-4"/>
    <n v="0.14285714285714285"/>
    <s v="2M-5M"/>
  </r>
  <r>
    <s v="C133"/>
    <s v="Customer_133"/>
    <s v="INV89053"/>
    <d v="2025-12-16T00:00:00"/>
    <d v="2025-09-03T00:00:00"/>
    <n v="4474407"/>
    <s v="Distributor"/>
    <x v="2"/>
    <s v="Product Type 4"/>
    <n v="22372035"/>
    <n v="178"/>
    <x v="3"/>
    <n v="7.1765193936195436E-4"/>
    <n v="0.2"/>
    <s v="2M-5M"/>
  </r>
  <r>
    <s v="C055"/>
    <s v="Customer_055"/>
    <s v="INV78310"/>
    <d v="2025-12-08T00:00:00"/>
    <d v="2025-10-17T00:00:00"/>
    <n v="3320635"/>
    <s v="Distributor"/>
    <x v="1"/>
    <s v="Product Type 2"/>
    <n v="13282540"/>
    <n v="134"/>
    <x v="3"/>
    <n v="5.3259798397043085E-4"/>
    <n v="0.25"/>
    <s v="2M-5M"/>
  </r>
  <r>
    <s v="C074"/>
    <s v="Customer_074"/>
    <s v="INV99000"/>
    <d v="2025-12-12T00:00:00"/>
    <d v="2025-12-31T00:00:00"/>
    <n v="7795554"/>
    <s v="Retailer"/>
    <x v="5"/>
    <s v="Product Type 4"/>
    <n v="77955540"/>
    <n v="59"/>
    <x v="1"/>
    <n v="1.2503320432184289E-3"/>
    <n v="0.1"/>
    <s v="&gt;5M"/>
  </r>
  <r>
    <s v="C029"/>
    <s v="Customer_029"/>
    <s v="INV49734"/>
    <d v="2025-09-02T00:00:00"/>
    <d v="2025-11-20T00:00:00"/>
    <n v="499175"/>
    <s v="Distributor"/>
    <x v="3"/>
    <s v="Product Type 6"/>
    <n v="1996700"/>
    <n v="100"/>
    <x v="3"/>
    <n v="8.0062879132587536E-5"/>
    <n v="0.25"/>
    <s v="&lt;500K"/>
  </r>
  <r>
    <s v="C175"/>
    <s v="Customer_175"/>
    <s v="INV68194"/>
    <d v="2025-05-11T00:00:00"/>
    <d v="2025-10-05T00:00:00"/>
    <n v="5442181"/>
    <s v="Distributor"/>
    <x v="0"/>
    <s v="Product Type 2"/>
    <n v="32653086"/>
    <n v="146"/>
    <x v="3"/>
    <n v="8.7287360068245476E-4"/>
    <n v="0.16666666666666666"/>
    <s v="&gt;5M"/>
  </r>
  <r>
    <s v="C081"/>
    <s v="Customer_081"/>
    <s v="INV51751"/>
    <d v="2025-03-12T00:00:00"/>
    <d v="2025-10-31T00:00:00"/>
    <n v="5680266"/>
    <s v="Export"/>
    <x v="3"/>
    <s v="Product Type 2"/>
    <n v="39761862"/>
    <n v="120"/>
    <x v="3"/>
    <n v="9.1106014964480685E-4"/>
    <n v="0.14285714285714285"/>
    <s v="&gt;5M"/>
  </r>
  <r>
    <s v="C172"/>
    <s v="Customer_172"/>
    <s v="INV49483"/>
    <d v="2025-05-10T00:00:00"/>
    <d v="2025-11-09T00:00:00"/>
    <n v="1819662"/>
    <s v="Export"/>
    <x v="1"/>
    <s v="Product Type 5"/>
    <n v="3639324"/>
    <n v="111"/>
    <x v="3"/>
    <n v="2.918563204650924E-4"/>
    <n v="0.5"/>
    <s v="500K-2M"/>
  </r>
  <r>
    <s v="C035"/>
    <s v="Customer_035"/>
    <s v="INV20525"/>
    <d v="2025-08-04T00:00:00"/>
    <d v="2025-11-30T00:00:00"/>
    <n v="3679369"/>
    <s v="Distributor"/>
    <x v="4"/>
    <s v="Product Type 6"/>
    <n v="29434952"/>
    <n v="90"/>
    <x v="2"/>
    <n v="5.9013547459546144E-4"/>
    <n v="0.125"/>
    <s v="2M-5M"/>
  </r>
  <r>
    <s v="C176"/>
    <s v="Customer_176"/>
    <s v="INV54363"/>
    <d v="2025-05-05T00:00:00"/>
    <d v="2026-04-01T00:00:00"/>
    <n v="5386089"/>
    <s v="Export"/>
    <x v="4"/>
    <s v="Product Type 4"/>
    <n v="43088712"/>
    <n v="0"/>
    <x v="0"/>
    <n v="8.6387698222939696E-4"/>
    <n v="0.125"/>
    <s v="&gt;5M"/>
  </r>
  <r>
    <s v="C164"/>
    <s v="Customer_164"/>
    <s v="INV97653"/>
    <d v="2025-08-12T00:00:00"/>
    <d v="2025-09-12T00:00:00"/>
    <n v="6545943"/>
    <s v="Distributor"/>
    <x v="0"/>
    <s v="Product Type 5"/>
    <n v="52367544"/>
    <n v="169"/>
    <x v="3"/>
    <n v="1.0499064320484948E-3"/>
    <n v="0.125"/>
    <s v="&gt;5M"/>
  </r>
  <r>
    <s v="C170"/>
    <s v="Customer_170"/>
    <s v="INV98097"/>
    <d v="2025-07-14T00:00:00"/>
    <d v="2025-11-01T00:00:00"/>
    <n v="7382030"/>
    <s v="Distributor"/>
    <x v="1"/>
    <s v="Product Type 5"/>
    <n v="59056240"/>
    <n v="119"/>
    <x v="3"/>
    <n v="1.1840067624443035E-3"/>
    <n v="0.125"/>
    <s v="&gt;5M"/>
  </r>
  <r>
    <s v="C162"/>
    <s v="Customer_162"/>
    <s v="INV82769"/>
    <d v="2025-03-15T00:00:00"/>
    <d v="2025-12-10T00:00:00"/>
    <n v="1489026"/>
    <s v="Retailer"/>
    <x v="3"/>
    <s v="Product Type 1"/>
    <n v="7445130"/>
    <n v="80"/>
    <x v="2"/>
    <n v="2.3882547936751697E-4"/>
    <n v="0.2"/>
    <s v="500K-2M"/>
  </r>
  <r>
    <s v="C198"/>
    <s v="Customer_198"/>
    <s v="INV16991"/>
    <d v="2025-03-31T00:00:00"/>
    <d v="2026-03-06T00:00:00"/>
    <n v="4610520"/>
    <s v="Distributor"/>
    <x v="4"/>
    <s v="Product Type 1"/>
    <n v="27663120"/>
    <n v="0"/>
    <x v="0"/>
    <n v="7.3948315820779775E-4"/>
    <n v="0.16666666666666666"/>
    <s v="2M-5M"/>
  </r>
  <r>
    <s v="C009"/>
    <s v="Customer_009"/>
    <s v="INV91159"/>
    <d v="2025-06-02T00:00:00"/>
    <d v="2026-03-26T00:00:00"/>
    <n v="5221619"/>
    <s v="Retailer"/>
    <x v="1"/>
    <s v="Product Type 1"/>
    <n v="46994571"/>
    <n v="0"/>
    <x v="0"/>
    <n v="8.3749757274186921E-4"/>
    <n v="0.1111111111111111"/>
    <s v="&gt;5M"/>
  </r>
  <r>
    <s v="C064"/>
    <s v="Customer_064"/>
    <s v="INV96721"/>
    <d v="2025-09-11T00:00:00"/>
    <d v="2026-01-06T00:00:00"/>
    <n v="5400035"/>
    <s v="Distributor"/>
    <x v="4"/>
    <s v="Product Type 1"/>
    <n v="43200280"/>
    <n v="53"/>
    <x v="1"/>
    <n v="8.6611378678167438E-4"/>
    <n v="0.125"/>
    <s v="&gt;5M"/>
  </r>
  <r>
    <s v="C044"/>
    <s v="Customer_044"/>
    <s v="INV69464"/>
    <d v="2025-05-09T00:00:00"/>
    <d v="2025-10-31T00:00:00"/>
    <n v="3672726"/>
    <s v="Distributor"/>
    <x v="2"/>
    <s v="Product Type 3"/>
    <n v="36727260"/>
    <n v="120"/>
    <x v="3"/>
    <n v="5.8907000115212432E-4"/>
    <n v="0.1"/>
    <s v="2M-5M"/>
  </r>
  <r>
    <s v="C171"/>
    <s v="Customer_171"/>
    <s v="INV13447"/>
    <d v="2025-03-24T00:00:00"/>
    <d v="2025-12-23T00:00:00"/>
    <n v="7967194"/>
    <s v="Retailer"/>
    <x v="0"/>
    <s v="Product Type 2"/>
    <n v="23901582"/>
    <n v="67"/>
    <x v="2"/>
    <n v="1.2778614518913739E-3"/>
    <n v="0.33333333333333331"/>
    <s v="&gt;5M"/>
  </r>
  <r>
    <s v="C149"/>
    <s v="Customer_149"/>
    <s v="INV46499"/>
    <d v="2025-08-02T00:00:00"/>
    <d v="2026-04-17T00:00:00"/>
    <n v="4963055"/>
    <s v="Retailer"/>
    <x v="3"/>
    <s v="Product Type 2"/>
    <n v="14889165"/>
    <n v="0"/>
    <x v="0"/>
    <n v="7.960263887281699E-4"/>
    <n v="0.33333333333333331"/>
    <s v="2M-5M"/>
  </r>
  <r>
    <s v="C038"/>
    <s v="Customer_038"/>
    <s v="INV31243"/>
    <d v="2025-05-20T00:00:00"/>
    <d v="2026-01-20T00:00:00"/>
    <n v="5489890"/>
    <s v="Retailer"/>
    <x v="4"/>
    <s v="Product Type 4"/>
    <n v="27449450"/>
    <n v="39"/>
    <x v="1"/>
    <n v="8.8052566639194862E-4"/>
    <n v="0.2"/>
    <s v="&gt;5M"/>
  </r>
  <r>
    <s v="C067"/>
    <s v="Customer_067"/>
    <s v="INV80979"/>
    <d v="2025-08-24T00:00:00"/>
    <d v="2026-02-15T00:00:00"/>
    <n v="7742854"/>
    <s v="Retailer"/>
    <x v="5"/>
    <s v="Product Type 1"/>
    <n v="69685686"/>
    <n v="13"/>
    <x v="4"/>
    <n v="1.241879469010411E-3"/>
    <n v="0.1111111111111111"/>
    <s v="&gt;5M"/>
  </r>
  <r>
    <s v="C086"/>
    <s v="Customer_086"/>
    <s v="INV83883"/>
    <d v="2025-03-10T00:00:00"/>
    <d v="2026-03-29T00:00:00"/>
    <n v="6762179"/>
    <s v="Distributor"/>
    <x v="2"/>
    <s v="Product Type 6"/>
    <n v="54097432"/>
    <n v="0"/>
    <x v="0"/>
    <n v="1.0845886111081717E-3"/>
    <n v="0.125"/>
    <s v="&gt;5M"/>
  </r>
  <r>
    <s v="C124"/>
    <s v="Customer_124"/>
    <s v="INV43347"/>
    <d v="2025-08-30T00:00:00"/>
    <d v="2026-03-22T00:00:00"/>
    <n v="6081150"/>
    <s v="Distributor"/>
    <x v="3"/>
    <s v="Product Type 1"/>
    <n v="36486900"/>
    <n v="0"/>
    <x v="0"/>
    <n v="9.7535809573222755E-4"/>
    <n v="0.16666666666666666"/>
    <s v="&gt;5M"/>
  </r>
  <r>
    <s v="C061"/>
    <s v="Customer_061"/>
    <s v="INV81708"/>
    <d v="2025-07-01T00:00:00"/>
    <d v="2026-03-23T00:00:00"/>
    <n v="6171536"/>
    <s v="Distributor"/>
    <x v="0"/>
    <s v="Product Type 1"/>
    <n v="43200752"/>
    <n v="0"/>
    <x v="0"/>
    <n v="9.8985514264619172E-4"/>
    <n v="0.14285714285714285"/>
    <s v="&gt;5M"/>
  </r>
  <r>
    <s v="C140"/>
    <s v="Customer_140"/>
    <s v="INV89369"/>
    <d v="2025-06-07T00:00:00"/>
    <d v="2026-04-13T00:00:00"/>
    <n v="7458967"/>
    <s v="Export"/>
    <x v="0"/>
    <s v="Product Type 1"/>
    <n v="52212769"/>
    <n v="0"/>
    <x v="0"/>
    <n v="1.1963467188359975E-3"/>
    <n v="0.14285714285714285"/>
    <s v="&gt;5M"/>
  </r>
  <r>
    <s v="C184"/>
    <s v="Customer_184"/>
    <s v="INV19834"/>
    <d v="2025-04-06T00:00:00"/>
    <d v="2026-03-02T00:00:00"/>
    <n v="6305129"/>
    <s v="Export"/>
    <x v="4"/>
    <s v="Product Type 5"/>
    <n v="12610258"/>
    <n v="0"/>
    <x v="0"/>
    <n v="1.0112821776779135E-3"/>
    <n v="0.5"/>
    <s v="&gt;5M"/>
  </r>
  <r>
    <s v="C146"/>
    <s v="Customer_146"/>
    <s v="INV65421"/>
    <d v="2025-06-28T00:00:00"/>
    <d v="2025-10-17T00:00:00"/>
    <n v="5041001"/>
    <s v="Retailer"/>
    <x v="3"/>
    <s v="Product Type 3"/>
    <n v="10082002"/>
    <n v="134"/>
    <x v="3"/>
    <n v="8.0852817903591498E-4"/>
    <n v="0.5"/>
    <s v="&gt;5M"/>
  </r>
  <r>
    <s v="C135"/>
    <s v="Customer_135"/>
    <s v="INV41290"/>
    <d v="2026-01-14T00:00:00"/>
    <d v="2025-10-23T00:00:00"/>
    <n v="3126778"/>
    <s v="Retailer"/>
    <x v="4"/>
    <s v="Product Type 2"/>
    <n v="28141002"/>
    <n v="128"/>
    <x v="3"/>
    <n v="5.0150518172671665E-4"/>
    <n v="0.1111111111111111"/>
    <s v="2M-5M"/>
  </r>
  <r>
    <s v="C035"/>
    <s v="Customer_035"/>
    <s v="INV98725"/>
    <d v="2025-08-19T00:00:00"/>
    <d v="2025-11-29T00:00:00"/>
    <n v="7544857"/>
    <s v="Retailer"/>
    <x v="4"/>
    <s v="Product Type 2"/>
    <n v="30179428"/>
    <n v="91"/>
    <x v="3"/>
    <n v="1.21012265050064E-3"/>
    <n v="0.25"/>
    <s v="&gt;5M"/>
  </r>
  <r>
    <s v="C198"/>
    <s v="Customer_198"/>
    <s v="INV70120"/>
    <d v="2025-11-24T00:00:00"/>
    <d v="2026-03-14T00:00:00"/>
    <n v="4261694"/>
    <s v="Distributor"/>
    <x v="0"/>
    <s v="Product Type 2"/>
    <n v="21308470"/>
    <n v="0"/>
    <x v="0"/>
    <n v="6.8353481569003555E-4"/>
    <n v="0.2"/>
    <s v="2M-5M"/>
  </r>
  <r>
    <s v="C113"/>
    <s v="Customer_113"/>
    <s v="INV89920"/>
    <d v="2026-01-12T00:00:00"/>
    <d v="2025-12-26T00:00:00"/>
    <n v="5904014"/>
    <s v="Distributor"/>
    <x v="0"/>
    <s v="Product Type 5"/>
    <n v="35424084"/>
    <n v="64"/>
    <x v="2"/>
    <n v="9.4694718140753175E-4"/>
    <n v="0.16666666666666666"/>
    <s v="&gt;5M"/>
  </r>
  <r>
    <s v="C045"/>
    <s v="Customer_045"/>
    <s v="INV72638"/>
    <d v="2025-04-29T00:00:00"/>
    <d v="2025-11-21T00:00:00"/>
    <n v="2716744"/>
    <s v="Distributor"/>
    <x v="2"/>
    <s v="Product Type 1"/>
    <n v="24450696"/>
    <n v="99"/>
    <x v="3"/>
    <n v="4.3573966345706894E-4"/>
    <n v="0.1111111111111111"/>
    <s v="2M-5M"/>
  </r>
  <r>
    <s v="C052"/>
    <s v="Customer_052"/>
    <s v="INV59312"/>
    <d v="2025-07-24T00:00:00"/>
    <d v="2026-02-18T00:00:00"/>
    <n v="1637817"/>
    <s v="Distributor"/>
    <x v="5"/>
    <s v="Product Type 2"/>
    <n v="3275634"/>
    <n v="10"/>
    <x v="4"/>
    <n v="2.6269012773535755E-4"/>
    <n v="0.5"/>
    <s v="500K-2M"/>
  </r>
  <r>
    <s v="C154"/>
    <s v="Customer_154"/>
    <s v="INV31514"/>
    <d v="2025-05-19T00:00:00"/>
    <d v="2026-02-15T00:00:00"/>
    <n v="5557184"/>
    <s v="Distributor"/>
    <x v="1"/>
    <s v="Product Type 1"/>
    <n v="38900288"/>
    <n v="13"/>
    <x v="4"/>
    <n v="8.9131897813301815E-4"/>
    <n v="0.14285714285714285"/>
    <s v="&gt;5M"/>
  </r>
  <r>
    <s v="C182"/>
    <s v="Customer_182"/>
    <s v="INV81689"/>
    <d v="2025-03-24T00:00:00"/>
    <d v="2026-01-12T00:00:00"/>
    <n v="6264443"/>
    <s v="Distributor"/>
    <x v="4"/>
    <s v="Product Type 6"/>
    <n v="12528886"/>
    <n v="47"/>
    <x v="1"/>
    <n v="1.0047565337646799E-3"/>
    <n v="0.5"/>
    <s v="&gt;5M"/>
  </r>
  <r>
    <s v="C021"/>
    <s v="Customer_021"/>
    <s v="INV63198"/>
    <d v="2025-04-16T00:00:00"/>
    <d v="2025-12-18T00:00:00"/>
    <n v="3348610"/>
    <s v="Distributor"/>
    <x v="0"/>
    <s v="Product Type 1"/>
    <n v="10045830"/>
    <n v="72"/>
    <x v="2"/>
    <n v="5.3708490547838721E-4"/>
    <n v="0.33333333333333331"/>
    <s v="2M-5M"/>
  </r>
  <r>
    <s v="C056"/>
    <s v="Customer_056"/>
    <s v="INV57735"/>
    <d v="2025-06-23T00:00:00"/>
    <d v="2026-02-21T00:00:00"/>
    <n v="6202599"/>
    <s v="Distributor"/>
    <x v="4"/>
    <s v="Product Type 5"/>
    <n v="37215594"/>
    <n v="7"/>
    <x v="4"/>
    <n v="9.9483734971684938E-4"/>
    <n v="0.16666666666666666"/>
    <s v="&gt;5M"/>
  </r>
  <r>
    <s v="C006"/>
    <s v="Customer_006"/>
    <s v="INV34854"/>
    <d v="2025-10-26T00:00:00"/>
    <d v="2025-09-15T00:00:00"/>
    <n v="5624393"/>
    <s v="Retailer"/>
    <x v="3"/>
    <s v="Product Type 4"/>
    <n v="16873179"/>
    <n v="166"/>
    <x v="3"/>
    <n v="9.0209865668988112E-4"/>
    <n v="0.33333333333333331"/>
    <s v="&gt;5M"/>
  </r>
  <r>
    <s v="C141"/>
    <s v="Customer_141"/>
    <s v="INV56267"/>
    <d v="2025-09-04T00:00:00"/>
    <d v="2026-01-02T00:00:00"/>
    <n v="380972"/>
    <s v="Retailer"/>
    <x v="3"/>
    <s v="Product Type 1"/>
    <n v="1142916"/>
    <n v="57"/>
    <x v="1"/>
    <n v="6.1104252394250793E-5"/>
    <n v="0.33333333333333331"/>
    <s v="&lt;500K"/>
  </r>
  <r>
    <s v="C124"/>
    <s v="Customer_124"/>
    <s v="INV20780"/>
    <d v="2026-01-22T00:00:00"/>
    <d v="2025-09-27T00:00:00"/>
    <n v="6714967"/>
    <s v="Retailer"/>
    <x v="4"/>
    <s v="Product Type 3"/>
    <n v="13429934"/>
    <n v="154"/>
    <x v="3"/>
    <n v="1.0770162594286852E-3"/>
    <n v="0.5"/>
    <s v="&gt;5M"/>
  </r>
  <r>
    <s v="C138"/>
    <s v="Customer_138"/>
    <s v="INV80591"/>
    <d v="2025-06-08T00:00:00"/>
    <d v="2025-11-16T00:00:00"/>
    <n v="1398246"/>
    <s v="Distributor"/>
    <x v="3"/>
    <s v="Product Type 5"/>
    <n v="4194738"/>
    <n v="104"/>
    <x v="3"/>
    <n v="2.2426523863499571E-4"/>
    <n v="0.33333333333333331"/>
    <s v="500K-2M"/>
  </r>
  <r>
    <s v="C154"/>
    <s v="Customer_154"/>
    <s v="INV63189"/>
    <d v="2025-11-24T00:00:00"/>
    <d v="2026-01-24T00:00:00"/>
    <n v="1000000000"/>
    <s v="Export"/>
    <x v="2"/>
    <s v="Product Type 6"/>
    <n v="3000000000"/>
    <n v="35"/>
    <x v="1"/>
    <n v="0.1603904024291832"/>
    <n v="0.33333333333333331"/>
    <s v="&gt;5M"/>
  </r>
  <r>
    <s v="C130"/>
    <s v="Customer_130"/>
    <s v="INV10745"/>
    <d v="2025-11-11T00:00:00"/>
    <d v="2025-12-15T00:00:00"/>
    <n v="370490"/>
    <s v="Export"/>
    <x v="0"/>
    <s v="Product Type 4"/>
    <n v="1111470"/>
    <n v="75"/>
    <x v="2"/>
    <n v="5.9423040195988089E-5"/>
    <n v="0.33333333333333331"/>
    <s v="&lt;500K"/>
  </r>
  <r>
    <s v="C108"/>
    <s v="Customer_108"/>
    <s v="INV64053"/>
    <d v="2025-03-31T00:00:00"/>
    <d v="2025-11-07T00:00:00"/>
    <n v="6038412"/>
    <s v="Retailer"/>
    <x v="3"/>
    <s v="Product Type 4"/>
    <n v="54345708"/>
    <n v="113"/>
    <x v="3"/>
    <n v="9.685033307132091E-4"/>
    <n v="0.1111111111111111"/>
    <s v="&gt;5M"/>
  </r>
  <r>
    <s v="C100"/>
    <s v="Customer_100"/>
    <s v="INV73652"/>
    <d v="2025-07-02T00:00:00"/>
    <d v="2025-11-09T00:00:00"/>
    <n v="1282416"/>
    <s v="Distributor"/>
    <x v="0"/>
    <s v="Product Type 5"/>
    <n v="3847248"/>
    <n v="111"/>
    <x v="3"/>
    <n v="2.0568721832162342E-4"/>
    <n v="0.33333333333333331"/>
    <s v="500K-2M"/>
  </r>
  <r>
    <s v="C158"/>
    <s v="Customer_158"/>
    <s v="INV27402"/>
    <d v="2025-06-11T00:00:00"/>
    <d v="2026-03-27T00:00:00"/>
    <n v="4131310"/>
    <s v="Retailer"/>
    <x v="1"/>
    <s v="Product Type 6"/>
    <n v="28919170"/>
    <n v="0"/>
    <x v="0"/>
    <n v="6.6262247345970891E-4"/>
    <n v="0.14285714285714285"/>
    <s v="2M-5M"/>
  </r>
  <r>
    <s v="C108"/>
    <s v="Customer_108"/>
    <s v="INV21280"/>
    <d v="2025-11-23T00:00:00"/>
    <d v="2025-09-22T00:00:00"/>
    <n v="5599471"/>
    <s v="Export"/>
    <x v="2"/>
    <s v="Product Type 2"/>
    <n v="33596826"/>
    <n v="159"/>
    <x v="3"/>
    <n v="8.9810140708054093E-4"/>
    <n v="0.16666666666666666"/>
    <s v="&gt;5M"/>
  </r>
  <r>
    <s v="C020"/>
    <s v="Customer_020"/>
    <s v="INV41104"/>
    <d v="2025-12-05T00:00:00"/>
    <d v="2025-09-12T00:00:00"/>
    <n v="7657901"/>
    <s v="Retailer"/>
    <x v="1"/>
    <s v="Product Type 6"/>
    <n v="76579010"/>
    <n v="169"/>
    <x v="3"/>
    <n v="1.2282538231528446E-3"/>
    <n v="0.1"/>
    <s v="&gt;5M"/>
  </r>
  <r>
    <s v="C058"/>
    <s v="Customer_058"/>
    <s v="INV37616"/>
    <d v="2025-08-23T00:00:00"/>
    <d v="2026-02-23T00:00:00"/>
    <n v="6753307"/>
    <s v="Distributor"/>
    <x v="5"/>
    <s v="Product Type 4"/>
    <n v="27013228"/>
    <n v="5"/>
    <x v="4"/>
    <n v="1.0831656274578199E-3"/>
    <n v="0.25"/>
    <s v="&gt;5M"/>
  </r>
  <r>
    <s v="C073"/>
    <s v="Customer_073"/>
    <s v="INV93994"/>
    <d v="2025-07-08T00:00:00"/>
    <d v="2026-01-17T00:00:00"/>
    <n v="6671996"/>
    <s v="Distributor"/>
    <x v="3"/>
    <s v="Product Type 1"/>
    <n v="40031976"/>
    <n v="42"/>
    <x v="1"/>
    <n v="1.0701241234459006E-3"/>
    <n v="0.16666666666666666"/>
    <s v="&gt;5M"/>
  </r>
  <r>
    <s v="C188"/>
    <s v="Customer_188"/>
    <s v="INV11623"/>
    <d v="2025-06-01T00:00:00"/>
    <d v="2026-02-09T00:00:00"/>
    <n v="5923859"/>
    <s v="Distributor"/>
    <x v="0"/>
    <s v="Product Type 4"/>
    <n v="41467013"/>
    <n v="19"/>
    <x v="4"/>
    <n v="9.5013012894373881E-4"/>
    <n v="0.14285714285714285"/>
    <s v="&gt;5M"/>
  </r>
  <r>
    <s v="C015"/>
    <s v="Customer_015"/>
    <s v="INV38824"/>
    <d v="2025-09-18T00:00:00"/>
    <d v="2026-03-23T00:00:00"/>
    <n v="1019731"/>
    <s v="Distributor"/>
    <x v="1"/>
    <s v="Product Type 3"/>
    <n v="9177579"/>
    <n v="0"/>
    <x v="0"/>
    <n v="1.6355506545951342E-4"/>
    <n v="0.1111111111111111"/>
    <s v="500K-2M"/>
  </r>
  <r>
    <s v="C052"/>
    <s v="Customer_052"/>
    <s v="INV38008"/>
    <d v="2025-06-05T00:00:00"/>
    <d v="2026-03-09T00:00:00"/>
    <n v="562262"/>
    <s v="Distributor"/>
    <x v="5"/>
    <s v="Product Type 3"/>
    <n v="3935834"/>
    <n v="0"/>
    <x v="0"/>
    <n v="9.0181428450637418E-5"/>
    <n v="0.14285714285714285"/>
    <s v="500K-2M"/>
  </r>
  <r>
    <s v="C200"/>
    <s v="Customer_200"/>
    <s v="INV18546"/>
    <d v="2025-10-22T00:00:00"/>
    <d v="2026-01-18T00:00:00"/>
    <n v="4663017"/>
    <s v="Retailer"/>
    <x v="2"/>
    <s v="Product Type 1"/>
    <n v="46630170"/>
    <n v="41"/>
    <x v="1"/>
    <n v="7.4790317316412265E-4"/>
    <n v="0.1"/>
    <s v="2M-5M"/>
  </r>
  <r>
    <s v="C137"/>
    <s v="Customer_137"/>
    <s v="INV78099"/>
    <d v="2025-03-06T00:00:00"/>
    <d v="2026-02-04T00:00:00"/>
    <n v="5303517"/>
    <s v="Distributor"/>
    <x v="5"/>
    <s v="Product Type 1"/>
    <n v="15910551"/>
    <n v="24"/>
    <x v="4"/>
    <n v="8.5063322592001452E-4"/>
    <n v="0.33333333333333331"/>
    <s v="&gt;5M"/>
  </r>
  <r>
    <s v="C120"/>
    <s v="Customer_120"/>
    <s v="INV18562"/>
    <d v="2025-11-26T00:00:00"/>
    <d v="2025-11-12T00:00:00"/>
    <n v="1882020"/>
    <s v="Retailer"/>
    <x v="0"/>
    <s v="Product Type 2"/>
    <n v="13174140"/>
    <n v="108"/>
    <x v="3"/>
    <n v="3.0185794517977141E-4"/>
    <n v="0.14285714285714285"/>
    <s v="500K-2M"/>
  </r>
  <r>
    <s v="C142"/>
    <s v="Customer_142"/>
    <s v="INV74278"/>
    <d v="2025-07-13T00:00:00"/>
    <d v="2025-11-05T00:00:00"/>
    <n v="225829"/>
    <s v="Distributor"/>
    <x v="3"/>
    <s v="Product Type 5"/>
    <n v="2258290"/>
    <n v="115"/>
    <x v="3"/>
    <n v="3.622080419018002E-5"/>
    <n v="0.1"/>
    <s v="&lt;500K"/>
  </r>
  <r>
    <s v="C195"/>
    <s v="Customer_195"/>
    <s v="INV53047"/>
    <d v="2025-08-12T00:00:00"/>
    <d v="2026-04-12T00:00:00"/>
    <n v="2228950"/>
    <s v="Export"/>
    <x v="3"/>
    <s v="Product Type 5"/>
    <n v="22289500"/>
    <n v="0"/>
    <x v="0"/>
    <n v="3.5750218749452793E-4"/>
    <n v="0.1"/>
    <s v="2M-5M"/>
  </r>
  <r>
    <s v="C111"/>
    <s v="Customer_111"/>
    <s v="INV78849"/>
    <d v="2025-07-10T00:00:00"/>
    <d v="2026-02-28T00:00:00"/>
    <n v="5464794"/>
    <s v="Distributor"/>
    <x v="2"/>
    <s v="Product Type 4"/>
    <n v="49183146"/>
    <n v="0"/>
    <x v="0"/>
    <n v="8.7650050885258583E-4"/>
    <n v="0.1111111111111111"/>
    <s v="&gt;5M"/>
  </r>
  <r>
    <s v="C016"/>
    <s v="Customer_016"/>
    <s v="INV75987"/>
    <d v="2025-09-22T00:00:00"/>
    <d v="2026-01-12T00:00:00"/>
    <n v="5752335"/>
    <s v="Distributor"/>
    <x v="0"/>
    <s v="Product Type 1"/>
    <n v="17257005"/>
    <n v="47"/>
    <x v="1"/>
    <n v="9.2261932555747568E-4"/>
    <n v="0.33333333333333331"/>
    <s v="&gt;5M"/>
  </r>
  <r>
    <s v="C088"/>
    <s v="Customer_088"/>
    <s v="INV87405"/>
    <d v="2025-03-27T00:00:00"/>
    <d v="2026-03-07T00:00:00"/>
    <n v="4224806"/>
    <s v="Distributor"/>
    <x v="3"/>
    <s v="Product Type 4"/>
    <n v="29573642"/>
    <n v="0"/>
    <x v="0"/>
    <n v="6.7761833452522778E-4"/>
    <n v="0.14285714285714285"/>
    <s v="2M-5M"/>
  </r>
  <r>
    <s v="C062"/>
    <s v="Customer_062"/>
    <s v="INV64269"/>
    <d v="2025-06-14T00:00:00"/>
    <d v="2025-10-11T00:00:00"/>
    <n v="1000000000"/>
    <s v="Export"/>
    <x v="1"/>
    <s v="Product Type 6"/>
    <n v="3000000000"/>
    <n v="140"/>
    <x v="3"/>
    <n v="0.1603904024291832"/>
    <n v="0.33333333333333331"/>
    <s v="&gt;5M"/>
  </r>
  <r>
    <s v="C191"/>
    <s v="Customer_191"/>
    <s v="INV44048"/>
    <d v="2025-10-07T00:00:00"/>
    <d v="2026-02-27T00:00:00"/>
    <n v="2555521"/>
    <s v="Distributor"/>
    <x v="3"/>
    <s v="Product Type 6"/>
    <n v="22999689"/>
    <n v="1"/>
    <x v="4"/>
    <n v="4.0988104160622873E-4"/>
    <n v="0.1111111111111111"/>
    <s v="2M-5M"/>
  </r>
  <r>
    <s v="C153"/>
    <s v="Customer_153"/>
    <s v="INV92874"/>
    <d v="2025-11-07T00:00:00"/>
    <d v="2026-04-10T00:00:00"/>
    <n v="670000000"/>
    <s v="Distributor"/>
    <x v="2"/>
    <s v="Product Type 6"/>
    <n v="6030000000"/>
    <n v="0"/>
    <x v="0"/>
    <n v="0.10746156962755275"/>
    <n v="0.1111111111111111"/>
    <s v="&gt;5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BD533-851C-4EA7-8E71-73B09590B870}" name="PivotTable2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18" firstHeaderRow="1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44" showAll="0"/>
    <pivotField showAll="0"/>
    <pivotField axis="axisRow" showAll="0">
      <items count="7">
        <item x="2"/>
        <item x="3"/>
        <item x="4"/>
        <item x="0"/>
        <item x="5"/>
        <item x="1"/>
        <item t="default"/>
      </items>
    </pivotField>
    <pivotField showAll="0"/>
    <pivotField numFmtId="44" showAll="0"/>
    <pivotField showAll="0"/>
    <pivotField showAll="0">
      <items count="6">
        <item x="4"/>
        <item x="1"/>
        <item x="2"/>
        <item x="3"/>
        <item x="0"/>
        <item t="default"/>
      </items>
    </pivotField>
    <pivotField numFmtId="10" showAll="0"/>
    <pivotField numFmtId="9"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utstanding Amount" fld="5" baseField="0" baseItem="0" numFmtId="44"/>
  </dataFields>
  <formats count="5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1" type="button" dataOnly="0" labelOnly="1" outline="0"/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0F48-EA8E-464A-8932-31CCA26F7AC8}" name="PivotTable1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D17" firstHeaderRow="1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44" showAll="0"/>
    <pivotField showAll="0"/>
    <pivotField showAll="0"/>
    <pivotField showAll="0"/>
    <pivotField numFmtId="44"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numFmtId="10" showAll="0"/>
    <pivotField numFmtId="9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xposure" fld="5" baseField="0" baseItem="0" numFmtId="44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1" type="button" dataOnly="0" labelOnly="1" outline="0" axis="axisRow" fieldPosition="0"/>
    </format>
    <format dxfId="9">
      <pivotArea dataOnly="0" labelOnly="1" fieldPosition="0">
        <references count="1">
          <reference field="1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DF4C0-3E5F-49D4-9F42-06DB1398E26E}" name="PivotTable3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M22" firstHeaderRow="0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44" showAll="0"/>
    <pivotField showAll="0"/>
    <pivotField showAll="0"/>
    <pivotField showAll="0"/>
    <pivotField numFmtId="44"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dataField="1" numFmtId="10" showAll="0"/>
    <pivotField numFmtId="9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xposure" fld="5" baseField="0" baseItem="0" numFmtId="44"/>
    <dataField name="Sum of Exposure Share" fld="12" baseField="0" baseItem="0" numFmtId="1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E350-5D29-46A4-809F-3E646B0EC8A3}">
  <dimension ref="C5:C18"/>
  <sheetViews>
    <sheetView showGridLines="0" zoomScale="140" zoomScaleNormal="140" workbookViewId="0">
      <selection activeCell="C12" sqref="C12"/>
    </sheetView>
  </sheetViews>
  <sheetFormatPr defaultColWidth="9" defaultRowHeight="15"/>
  <cols>
    <col min="1" max="16384" width="9" style="3"/>
  </cols>
  <sheetData>
    <row r="5" spans="3:3">
      <c r="C5" s="2" t="s">
        <v>0</v>
      </c>
    </row>
    <row r="7" spans="3:3">
      <c r="C7" s="3" t="s">
        <v>1</v>
      </c>
    </row>
    <row r="8" spans="3:3">
      <c r="C8" s="3" t="s">
        <v>2</v>
      </c>
    </row>
    <row r="9" spans="3:3">
      <c r="C9" s="3" t="s">
        <v>3</v>
      </c>
    </row>
    <row r="10" spans="3:3">
      <c r="C10" s="3" t="s">
        <v>4</v>
      </c>
    </row>
    <row r="11" spans="3:3">
      <c r="C11" s="3" t="s">
        <v>5</v>
      </c>
    </row>
    <row r="13" spans="3:3">
      <c r="C13" s="3" t="s">
        <v>6</v>
      </c>
    </row>
    <row r="15" spans="3:3">
      <c r="C15" s="3" t="s">
        <v>7</v>
      </c>
    </row>
    <row r="17" spans="3:3">
      <c r="C17" s="3" t="s">
        <v>8</v>
      </c>
    </row>
    <row r="18" spans="3:3">
      <c r="C1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9B0D-096A-4A24-A1FF-1E8CB29A86E2}">
  <dimension ref="D3:O45"/>
  <sheetViews>
    <sheetView showGridLines="0" tabSelected="1" topLeftCell="A8" workbookViewId="0">
      <selection activeCell="G1" sqref="G1"/>
    </sheetView>
  </sheetViews>
  <sheetFormatPr defaultColWidth="9" defaultRowHeight="15"/>
  <cols>
    <col min="1" max="3" width="2.42578125" style="3" customWidth="1"/>
    <col min="4" max="4" width="23.140625" style="3" customWidth="1"/>
    <col min="5" max="5" width="16.42578125" style="3" bestFit="1" customWidth="1"/>
    <col min="6" max="6" width="15.5703125" style="3" customWidth="1"/>
    <col min="7" max="7" width="15.42578125" style="3" bestFit="1" customWidth="1"/>
    <col min="8" max="16384" width="9" style="3"/>
  </cols>
  <sheetData>
    <row r="3" spans="4:13">
      <c r="D3" s="81" t="s">
        <v>10</v>
      </c>
      <c r="E3" s="82"/>
      <c r="F3" s="82"/>
      <c r="G3" s="82"/>
      <c r="H3" s="82"/>
      <c r="I3" s="82"/>
      <c r="J3" s="82"/>
      <c r="K3" s="82"/>
      <c r="L3" s="82"/>
      <c r="M3" s="83"/>
    </row>
    <row r="4" spans="4:13">
      <c r="D4" s="84"/>
      <c r="E4" s="85"/>
      <c r="F4" s="85"/>
      <c r="G4" s="85"/>
      <c r="H4" s="85"/>
      <c r="I4" s="85"/>
      <c r="J4" s="85"/>
      <c r="K4" s="85"/>
      <c r="L4" s="85"/>
      <c r="M4" s="86"/>
    </row>
    <row r="6" spans="4:13">
      <c r="D6" s="7" t="s">
        <v>11</v>
      </c>
      <c r="E6" s="8"/>
      <c r="F6" s="8"/>
      <c r="G6" s="8"/>
      <c r="H6" s="8"/>
      <c r="I6" s="8"/>
      <c r="J6" s="8"/>
      <c r="K6" s="8"/>
      <c r="L6" s="8"/>
      <c r="M6" s="9"/>
    </row>
    <row r="7" spans="4:13">
      <c r="D7" s="10" t="s">
        <v>12</v>
      </c>
      <c r="M7" s="11"/>
    </row>
    <row r="8" spans="4:13">
      <c r="D8" s="12" t="s">
        <v>13</v>
      </c>
      <c r="M8" s="11"/>
    </row>
    <row r="9" spans="4:13">
      <c r="D9" s="12" t="s">
        <v>14</v>
      </c>
      <c r="M9" s="11"/>
    </row>
    <row r="10" spans="4:13">
      <c r="D10" s="12" t="s">
        <v>15</v>
      </c>
      <c r="M10" s="11"/>
    </row>
    <row r="11" spans="4:13">
      <c r="D11" s="12" t="s">
        <v>16</v>
      </c>
      <c r="M11" s="11"/>
    </row>
    <row r="12" spans="4:13">
      <c r="D12" s="12" t="s">
        <v>17</v>
      </c>
      <c r="M12" s="11"/>
    </row>
    <row r="13" spans="4:13">
      <c r="D13" s="4" t="s">
        <v>18</v>
      </c>
      <c r="E13" s="5"/>
      <c r="F13" s="5"/>
      <c r="G13" s="5"/>
      <c r="H13" s="5"/>
      <c r="I13" s="5"/>
      <c r="J13" s="5"/>
      <c r="K13" s="5"/>
      <c r="L13" s="5"/>
      <c r="M13" s="6"/>
    </row>
    <row r="16" spans="4:13">
      <c r="D16" s="7" t="s">
        <v>19</v>
      </c>
      <c r="E16" s="8"/>
      <c r="F16" s="8"/>
      <c r="G16" s="8"/>
      <c r="H16" s="8"/>
      <c r="I16" s="8"/>
      <c r="J16" s="8"/>
      <c r="K16" s="8"/>
      <c r="L16" s="8"/>
      <c r="M16" s="9"/>
    </row>
    <row r="17" spans="4:15">
      <c r="D17" s="14" t="s">
        <v>20</v>
      </c>
      <c r="E17" s="8"/>
      <c r="F17" s="8"/>
      <c r="G17" s="8"/>
      <c r="H17" s="8"/>
      <c r="I17" s="8"/>
      <c r="J17" s="8"/>
      <c r="K17" s="8"/>
      <c r="L17" s="8"/>
      <c r="M17" s="9"/>
    </row>
    <row r="18" spans="4:15">
      <c r="D18" s="13"/>
    </row>
    <row r="19" spans="4:15">
      <c r="D19" s="19" t="s">
        <v>21</v>
      </c>
      <c r="E19" s="20" t="s">
        <v>22</v>
      </c>
      <c r="F19" s="20" t="s">
        <v>23</v>
      </c>
      <c r="G19" s="20" t="s">
        <v>24</v>
      </c>
    </row>
    <row r="20" spans="4:15">
      <c r="D20" s="21" t="s">
        <v>25</v>
      </c>
      <c r="E20" s="22" t="s">
        <v>26</v>
      </c>
      <c r="F20" s="22" t="s">
        <v>27</v>
      </c>
      <c r="G20" s="22" t="s">
        <v>28</v>
      </c>
      <c r="O20" s="2" t="s">
        <v>29</v>
      </c>
    </row>
    <row r="21" spans="4:15">
      <c r="D21" s="21" t="s">
        <v>30</v>
      </c>
      <c r="E21" s="22" t="s">
        <v>31</v>
      </c>
      <c r="F21" s="22" t="s">
        <v>32</v>
      </c>
      <c r="G21" s="22" t="s">
        <v>33</v>
      </c>
      <c r="O21" s="3" t="s">
        <v>34</v>
      </c>
    </row>
    <row r="22" spans="4:15">
      <c r="D22" s="21" t="s">
        <v>35</v>
      </c>
      <c r="E22" s="22" t="s">
        <v>36</v>
      </c>
      <c r="F22" s="22" t="s">
        <v>37</v>
      </c>
      <c r="G22" s="22" t="s">
        <v>38</v>
      </c>
      <c r="O22" s="3" t="s">
        <v>39</v>
      </c>
    </row>
    <row r="23" spans="4:15">
      <c r="D23" s="22" t="s">
        <v>40</v>
      </c>
      <c r="E23" s="22" t="s">
        <v>41</v>
      </c>
      <c r="F23" s="23">
        <v>45658</v>
      </c>
      <c r="G23" s="22" t="s">
        <v>42</v>
      </c>
      <c r="O23" s="3" t="s">
        <v>43</v>
      </c>
    </row>
    <row r="24" spans="4:15">
      <c r="D24" s="22" t="s">
        <v>44</v>
      </c>
      <c r="E24" s="22" t="s">
        <v>45</v>
      </c>
      <c r="F24" s="23">
        <v>45688</v>
      </c>
      <c r="G24" s="22" t="s">
        <v>46</v>
      </c>
    </row>
    <row r="25" spans="4:15">
      <c r="D25" s="22" t="s">
        <v>47</v>
      </c>
      <c r="E25" s="22" t="s">
        <v>48</v>
      </c>
      <c r="F25" s="24">
        <v>2500000</v>
      </c>
      <c r="G25" s="22" t="s">
        <v>49</v>
      </c>
    </row>
    <row r="26" spans="4:15">
      <c r="D26" s="22" t="s">
        <v>50</v>
      </c>
      <c r="E26" s="22" t="s">
        <v>51</v>
      </c>
      <c r="F26" s="22" t="s">
        <v>52</v>
      </c>
      <c r="G26" s="22" t="s">
        <v>53</v>
      </c>
    </row>
    <row r="27" spans="4:15">
      <c r="D27" s="22" t="s">
        <v>54</v>
      </c>
      <c r="E27" s="22" t="s">
        <v>55</v>
      </c>
      <c r="F27" s="22" t="s">
        <v>56</v>
      </c>
      <c r="G27" s="22" t="s">
        <v>57</v>
      </c>
    </row>
    <row r="28" spans="4:15">
      <c r="D28" s="22" t="s">
        <v>58</v>
      </c>
      <c r="E28" s="22" t="s">
        <v>59</v>
      </c>
      <c r="F28" s="22" t="s">
        <v>60</v>
      </c>
      <c r="G28" s="22" t="s">
        <v>61</v>
      </c>
    </row>
    <row r="29" spans="4:15">
      <c r="D29" s="22" t="s">
        <v>62</v>
      </c>
      <c r="E29" s="22" t="s">
        <v>63</v>
      </c>
      <c r="F29" s="22" t="s">
        <v>64</v>
      </c>
      <c r="G29" s="22" t="s">
        <v>65</v>
      </c>
    </row>
    <row r="30" spans="4:15">
      <c r="D30" s="22" t="s">
        <v>66</v>
      </c>
      <c r="E30" s="22" t="s">
        <v>67</v>
      </c>
      <c r="F30" s="22" t="s">
        <v>68</v>
      </c>
      <c r="G30" s="22" t="s">
        <v>69</v>
      </c>
    </row>
    <row r="33" spans="4:13">
      <c r="D33" s="7" t="s">
        <v>70</v>
      </c>
      <c r="E33" s="8"/>
      <c r="F33" s="8"/>
      <c r="G33" s="8"/>
      <c r="H33" s="8"/>
      <c r="I33" s="8"/>
      <c r="J33" s="8"/>
      <c r="K33" s="8"/>
      <c r="L33" s="8"/>
      <c r="M33" s="9"/>
    </row>
    <row r="34" spans="4:13">
      <c r="D34" s="14"/>
      <c r="E34" s="8"/>
      <c r="F34" s="8"/>
      <c r="G34" s="8"/>
      <c r="H34" s="8"/>
      <c r="I34" s="8"/>
      <c r="J34" s="8"/>
      <c r="K34" s="8"/>
      <c r="L34" s="8"/>
      <c r="M34" s="9"/>
    </row>
    <row r="36" spans="4:13">
      <c r="D36" s="19" t="s">
        <v>21</v>
      </c>
      <c r="E36" s="20" t="s">
        <v>71</v>
      </c>
      <c r="F36" s="20" t="s">
        <v>72</v>
      </c>
    </row>
    <row r="37" spans="4:13">
      <c r="D37" s="21" t="s">
        <v>73</v>
      </c>
      <c r="E37" s="22" t="s">
        <v>74</v>
      </c>
      <c r="F37" s="22" t="s">
        <v>75</v>
      </c>
    </row>
    <row r="38" spans="4:13">
      <c r="D38" s="21" t="s">
        <v>76</v>
      </c>
      <c r="E38" s="22" t="s">
        <v>77</v>
      </c>
      <c r="F38" s="22" t="s">
        <v>78</v>
      </c>
    </row>
    <row r="39" spans="4:13">
      <c r="D39" s="21" t="s">
        <v>79</v>
      </c>
      <c r="E39" s="22" t="s">
        <v>80</v>
      </c>
      <c r="F39" s="22" t="s">
        <v>57</v>
      </c>
    </row>
    <row r="40" spans="4:13">
      <c r="D40" s="22" t="s">
        <v>65</v>
      </c>
      <c r="E40" s="22" t="s">
        <v>81</v>
      </c>
      <c r="F40" s="23" t="s">
        <v>82</v>
      </c>
    </row>
    <row r="41" spans="4:13">
      <c r="D41" s="22" t="s">
        <v>83</v>
      </c>
      <c r="E41" s="22" t="s">
        <v>77</v>
      </c>
      <c r="F41" s="23" t="s">
        <v>84</v>
      </c>
    </row>
    <row r="44" spans="4:13">
      <c r="D44" s="7" t="s">
        <v>85</v>
      </c>
      <c r="E44" s="8"/>
      <c r="F44" s="8"/>
      <c r="G44" s="8"/>
      <c r="H44" s="8"/>
      <c r="I44" s="8"/>
      <c r="J44" s="8"/>
      <c r="K44" s="8"/>
      <c r="L44" s="8"/>
      <c r="M44" s="9"/>
    </row>
    <row r="45" spans="4:13">
      <c r="D45" s="14"/>
      <c r="E45" s="8"/>
      <c r="F45" s="8"/>
      <c r="G45" s="8"/>
      <c r="H45" s="8"/>
      <c r="I45" s="8"/>
      <c r="J45" s="8"/>
      <c r="K45" s="8"/>
      <c r="L45" s="8"/>
      <c r="M45" s="9"/>
    </row>
  </sheetData>
  <mergeCells count="1">
    <mergeCell ref="D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1EDA-25A7-4C74-83AA-0449CFA4BF7B}">
  <dimension ref="D3:R438"/>
  <sheetViews>
    <sheetView showGridLines="0" topLeftCell="A394" zoomScale="80" zoomScaleNormal="80" workbookViewId="0"/>
  </sheetViews>
  <sheetFormatPr defaultColWidth="9" defaultRowHeight="15"/>
  <cols>
    <col min="1" max="3" width="2.42578125" style="3" customWidth="1"/>
    <col min="4" max="18" width="20" style="3" customWidth="1"/>
    <col min="19" max="16384" width="9" style="3"/>
  </cols>
  <sheetData>
    <row r="3" spans="4:18">
      <c r="D3" s="81" t="s">
        <v>10</v>
      </c>
      <c r="E3" s="82"/>
      <c r="F3" s="82"/>
      <c r="G3" s="82"/>
      <c r="H3" s="82"/>
      <c r="I3" s="82"/>
      <c r="J3" s="82"/>
      <c r="K3" s="82"/>
      <c r="L3" s="82"/>
      <c r="M3" s="83"/>
    </row>
    <row r="4" spans="4:18">
      <c r="D4" s="84"/>
      <c r="E4" s="85"/>
      <c r="F4" s="85"/>
      <c r="G4" s="85"/>
      <c r="H4" s="85"/>
      <c r="I4" s="85"/>
      <c r="J4" s="85"/>
      <c r="K4" s="85"/>
      <c r="L4" s="85"/>
      <c r="M4" s="86"/>
    </row>
    <row r="6" spans="4:18">
      <c r="D6" s="28" t="s">
        <v>25</v>
      </c>
      <c r="E6" s="28" t="s">
        <v>30</v>
      </c>
      <c r="F6" s="28" t="s">
        <v>35</v>
      </c>
      <c r="G6" s="29" t="s">
        <v>40</v>
      </c>
      <c r="H6" s="29" t="s">
        <v>44</v>
      </c>
      <c r="I6" s="29" t="s">
        <v>47</v>
      </c>
      <c r="J6" s="29" t="s">
        <v>50</v>
      </c>
      <c r="K6" s="29" t="s">
        <v>54</v>
      </c>
      <c r="L6" s="29" t="s">
        <v>58</v>
      </c>
      <c r="M6" s="29" t="s">
        <v>62</v>
      </c>
      <c r="N6" s="32" t="s">
        <v>73</v>
      </c>
      <c r="O6" s="33" t="s">
        <v>76</v>
      </c>
      <c r="P6" s="33" t="s">
        <v>79</v>
      </c>
      <c r="Q6" s="33" t="s">
        <v>65</v>
      </c>
      <c r="R6" s="33" t="s">
        <v>76</v>
      </c>
    </row>
    <row r="7" spans="4:18">
      <c r="D7" s="25" t="s">
        <v>86</v>
      </c>
      <c r="E7" s="25" t="s">
        <v>87</v>
      </c>
      <c r="F7" s="25" t="s">
        <v>88</v>
      </c>
      <c r="G7" s="26">
        <v>45797</v>
      </c>
      <c r="H7" s="26">
        <v>46090</v>
      </c>
      <c r="I7" s="37">
        <v>40000000</v>
      </c>
      <c r="J7" s="25" t="s">
        <v>52</v>
      </c>
      <c r="K7" s="25" t="s">
        <v>89</v>
      </c>
      <c r="L7" s="25" t="s">
        <v>90</v>
      </c>
      <c r="M7" s="37">
        <v>280000000</v>
      </c>
      <c r="N7" s="34">
        <f ca="1">MAX(0,TODAY()-H7)</f>
        <v>0</v>
      </c>
      <c r="O7" s="34" t="str">
        <f ca="1">IF(N7&lt;=0,"Current",
IF(N7&lt;=30,"1-30",
IF(N7&lt;=60,"31-60",
IF(N7&lt;=90,"61-90","90+"))))</f>
        <v>Current</v>
      </c>
      <c r="P7" s="35">
        <f>I7/SUM($I$7:$I$438)</f>
        <v>6.4156160971673287E-3</v>
      </c>
      <c r="Q7" s="36">
        <f>I7/M7</f>
        <v>0.14285714285714285</v>
      </c>
      <c r="R7" s="34" t="str">
        <f>IF(I7&lt;500000,"&lt;500K",
IF(I7&lt;2000000,"500K-2M",
IF(I7&lt;5000000,"2M-5M","&gt;5M")))</f>
        <v>&gt;5M</v>
      </c>
    </row>
    <row r="8" spans="4:18">
      <c r="D8" s="25" t="s">
        <v>91</v>
      </c>
      <c r="E8" s="25" t="s">
        <v>92</v>
      </c>
      <c r="F8" s="25" t="s">
        <v>93</v>
      </c>
      <c r="G8" s="26">
        <v>45826</v>
      </c>
      <c r="H8" s="26">
        <v>46038</v>
      </c>
      <c r="I8" s="37">
        <v>6773687</v>
      </c>
      <c r="J8" s="25" t="s">
        <v>52</v>
      </c>
      <c r="K8" s="25" t="s">
        <v>94</v>
      </c>
      <c r="L8" s="25" t="s">
        <v>95</v>
      </c>
      <c r="M8" s="37">
        <v>47415809</v>
      </c>
      <c r="N8" s="34">
        <f t="shared" ref="N8:N71" ca="1" si="0">MAX(0,TODAY()-H8)</f>
        <v>45</v>
      </c>
      <c r="O8" s="34" t="str">
        <f t="shared" ref="O8:O71" ca="1" si="1">IF(N8&lt;=0,"Current",
IF(N8&lt;=30,"1-30",
IF(N8&lt;=60,"31-60",
IF(N8&lt;=90,"61-90","90+"))))</f>
        <v>31-60</v>
      </c>
      <c r="P8" s="35">
        <f t="shared" ref="P8:P71" si="2">I8/SUM($I$7:$I$438)</f>
        <v>1.0864343838593268E-3</v>
      </c>
      <c r="Q8" s="36">
        <f t="shared" ref="Q8:Q71" si="3">I8/M8</f>
        <v>0.14285714285714285</v>
      </c>
      <c r="R8" s="34" t="str">
        <f t="shared" ref="R8:R71" si="4">IF(I8&lt;500000,"&lt;500K",
IF(I8&lt;2000000,"500K-2M",
IF(I8&lt;5000000,"2M-5M","&gt;5M")))</f>
        <v>&gt;5M</v>
      </c>
    </row>
    <row r="9" spans="4:18">
      <c r="D9" s="25" t="s">
        <v>96</v>
      </c>
      <c r="E9" s="25" t="s">
        <v>97</v>
      </c>
      <c r="F9" s="25" t="s">
        <v>98</v>
      </c>
      <c r="G9" s="26">
        <v>46022</v>
      </c>
      <c r="H9" s="26">
        <v>46004</v>
      </c>
      <c r="I9" s="37">
        <v>7857221</v>
      </c>
      <c r="J9" s="25" t="s">
        <v>99</v>
      </c>
      <c r="K9" s="25" t="s">
        <v>89</v>
      </c>
      <c r="L9" s="25" t="s">
        <v>90</v>
      </c>
      <c r="M9" s="37">
        <v>62857768</v>
      </c>
      <c r="N9" s="34">
        <f t="shared" ca="1" si="0"/>
        <v>79</v>
      </c>
      <c r="O9" s="34" t="str">
        <f t="shared" ca="1" si="1"/>
        <v>61-90</v>
      </c>
      <c r="P9" s="35">
        <f t="shared" si="2"/>
        <v>1.2602228381650294E-3</v>
      </c>
      <c r="Q9" s="36">
        <f t="shared" si="3"/>
        <v>0.125</v>
      </c>
      <c r="R9" s="34" t="str">
        <f t="shared" si="4"/>
        <v>&gt;5M</v>
      </c>
    </row>
    <row r="10" spans="4:18">
      <c r="D10" s="25" t="s">
        <v>100</v>
      </c>
      <c r="E10" s="25" t="s">
        <v>101</v>
      </c>
      <c r="F10" s="25" t="s">
        <v>102</v>
      </c>
      <c r="G10" s="26">
        <v>45720</v>
      </c>
      <c r="H10" s="26">
        <v>45936</v>
      </c>
      <c r="I10" s="37">
        <v>1426502</v>
      </c>
      <c r="J10" s="25" t="s">
        <v>52</v>
      </c>
      <c r="K10" s="25" t="s">
        <v>94</v>
      </c>
      <c r="L10" s="25" t="s">
        <v>95</v>
      </c>
      <c r="M10" s="37">
        <v>4279506</v>
      </c>
      <c r="N10" s="34">
        <f t="shared" ca="1" si="0"/>
        <v>147</v>
      </c>
      <c r="O10" s="34" t="str">
        <f t="shared" ca="1" si="1"/>
        <v>90+</v>
      </c>
      <c r="P10" s="35">
        <f t="shared" si="2"/>
        <v>2.2879722984603471E-4</v>
      </c>
      <c r="Q10" s="36">
        <f t="shared" si="3"/>
        <v>0.33333333333333331</v>
      </c>
      <c r="R10" s="34" t="str">
        <f t="shared" si="4"/>
        <v>500K-2M</v>
      </c>
    </row>
    <row r="11" spans="4:18">
      <c r="D11" s="25" t="s">
        <v>103</v>
      </c>
      <c r="E11" s="25" t="s">
        <v>104</v>
      </c>
      <c r="F11" s="25" t="s">
        <v>105</v>
      </c>
      <c r="G11" s="26">
        <v>45790</v>
      </c>
      <c r="H11" s="26">
        <v>46014</v>
      </c>
      <c r="I11" s="37">
        <v>179838</v>
      </c>
      <c r="J11" s="25" t="s">
        <v>52</v>
      </c>
      <c r="K11" s="25" t="s">
        <v>89</v>
      </c>
      <c r="L11" s="25" t="s">
        <v>95</v>
      </c>
      <c r="M11" s="37">
        <v>719352</v>
      </c>
      <c r="N11" s="34">
        <f t="shared" ca="1" si="0"/>
        <v>69</v>
      </c>
      <c r="O11" s="34" t="str">
        <f t="shared" ca="1" si="1"/>
        <v>61-90</v>
      </c>
      <c r="P11" s="35">
        <f t="shared" si="2"/>
        <v>2.884428919205945E-5</v>
      </c>
      <c r="Q11" s="36">
        <f t="shared" si="3"/>
        <v>0.25</v>
      </c>
      <c r="R11" s="34" t="str">
        <f t="shared" si="4"/>
        <v>&lt;500K</v>
      </c>
    </row>
    <row r="12" spans="4:18">
      <c r="D12" s="25" t="s">
        <v>106</v>
      </c>
      <c r="E12" s="25" t="s">
        <v>107</v>
      </c>
      <c r="F12" s="25" t="s">
        <v>108</v>
      </c>
      <c r="G12" s="26">
        <v>45973</v>
      </c>
      <c r="H12" s="26">
        <v>45916</v>
      </c>
      <c r="I12" s="37">
        <v>3334681</v>
      </c>
      <c r="J12" s="25" t="s">
        <v>52</v>
      </c>
      <c r="K12" s="25" t="s">
        <v>109</v>
      </c>
      <c r="L12" s="25" t="s">
        <v>110</v>
      </c>
      <c r="M12" s="37">
        <v>20008086</v>
      </c>
      <c r="N12" s="34">
        <f t="shared" ca="1" si="0"/>
        <v>167</v>
      </c>
      <c r="O12" s="34" t="str">
        <f t="shared" ca="1" si="1"/>
        <v>90+</v>
      </c>
      <c r="P12" s="35">
        <f t="shared" si="2"/>
        <v>5.3485082756295113E-4</v>
      </c>
      <c r="Q12" s="36">
        <f t="shared" si="3"/>
        <v>0.16666666666666666</v>
      </c>
      <c r="R12" s="34" t="str">
        <f t="shared" si="4"/>
        <v>2M-5M</v>
      </c>
    </row>
    <row r="13" spans="4:18">
      <c r="D13" s="25" t="s">
        <v>111</v>
      </c>
      <c r="E13" s="25" t="s">
        <v>112</v>
      </c>
      <c r="F13" s="25" t="s">
        <v>113</v>
      </c>
      <c r="G13" s="26">
        <v>45899</v>
      </c>
      <c r="H13" s="26">
        <v>45968</v>
      </c>
      <c r="I13" s="37">
        <v>2466404</v>
      </c>
      <c r="J13" s="25" t="s">
        <v>52</v>
      </c>
      <c r="K13" s="25" t="s">
        <v>89</v>
      </c>
      <c r="L13" s="25" t="s">
        <v>114</v>
      </c>
      <c r="M13" s="37">
        <v>4932808</v>
      </c>
      <c r="N13" s="34">
        <f t="shared" ca="1" si="0"/>
        <v>115</v>
      </c>
      <c r="O13" s="34" t="str">
        <f t="shared" ca="1" si="1"/>
        <v>90+</v>
      </c>
      <c r="P13" s="35">
        <f t="shared" si="2"/>
        <v>3.9558753011294722E-4</v>
      </c>
      <c r="Q13" s="36">
        <f t="shared" si="3"/>
        <v>0.5</v>
      </c>
      <c r="R13" s="34" t="str">
        <f t="shared" si="4"/>
        <v>2M-5M</v>
      </c>
    </row>
    <row r="14" spans="4:18">
      <c r="D14" s="25" t="s">
        <v>115</v>
      </c>
      <c r="E14" s="25" t="s">
        <v>116</v>
      </c>
      <c r="F14" s="25" t="s">
        <v>117</v>
      </c>
      <c r="G14" s="26">
        <v>46019</v>
      </c>
      <c r="H14" s="26">
        <v>45977</v>
      </c>
      <c r="I14" s="37">
        <v>7863875</v>
      </c>
      <c r="J14" s="25" t="s">
        <v>52</v>
      </c>
      <c r="K14" s="25" t="s">
        <v>89</v>
      </c>
      <c r="L14" s="25" t="s">
        <v>110</v>
      </c>
      <c r="M14" s="37">
        <v>39319375</v>
      </c>
      <c r="N14" s="34">
        <f t="shared" ca="1" si="0"/>
        <v>106</v>
      </c>
      <c r="O14" s="34" t="str">
        <f t="shared" ca="1" si="1"/>
        <v>90+</v>
      </c>
      <c r="P14" s="35">
        <f t="shared" si="2"/>
        <v>1.2612900759027931E-3</v>
      </c>
      <c r="Q14" s="36">
        <f t="shared" si="3"/>
        <v>0.2</v>
      </c>
      <c r="R14" s="34" t="str">
        <f t="shared" si="4"/>
        <v>&gt;5M</v>
      </c>
    </row>
    <row r="15" spans="4:18">
      <c r="D15" s="25" t="s">
        <v>118</v>
      </c>
      <c r="E15" s="25" t="s">
        <v>119</v>
      </c>
      <c r="F15" s="25" t="s">
        <v>120</v>
      </c>
      <c r="G15" s="26">
        <v>45909</v>
      </c>
      <c r="H15" s="26">
        <v>45978</v>
      </c>
      <c r="I15" s="37">
        <v>7050710</v>
      </c>
      <c r="J15" s="25" t="s">
        <v>52</v>
      </c>
      <c r="K15" s="25" t="s">
        <v>109</v>
      </c>
      <c r="L15" s="25" t="s">
        <v>121</v>
      </c>
      <c r="M15" s="37">
        <v>56405680</v>
      </c>
      <c r="N15" s="34">
        <f t="shared" ca="1" si="0"/>
        <v>105</v>
      </c>
      <c r="O15" s="34" t="str">
        <f t="shared" ca="1" si="1"/>
        <v>90+</v>
      </c>
      <c r="P15" s="35">
        <f t="shared" si="2"/>
        <v>1.1308662143114665E-3</v>
      </c>
      <c r="Q15" s="36">
        <f t="shared" si="3"/>
        <v>0.125</v>
      </c>
      <c r="R15" s="34" t="str">
        <f t="shared" si="4"/>
        <v>&gt;5M</v>
      </c>
    </row>
    <row r="16" spans="4:18">
      <c r="D16" s="25" t="s">
        <v>122</v>
      </c>
      <c r="E16" s="25" t="s">
        <v>123</v>
      </c>
      <c r="F16" s="25" t="s">
        <v>124</v>
      </c>
      <c r="G16" s="26">
        <v>45968</v>
      </c>
      <c r="H16" s="26">
        <v>45987</v>
      </c>
      <c r="I16" s="37">
        <v>4851914</v>
      </c>
      <c r="J16" s="25" t="s">
        <v>52</v>
      </c>
      <c r="K16" s="25" t="s">
        <v>125</v>
      </c>
      <c r="L16" s="25" t="s">
        <v>114</v>
      </c>
      <c r="M16" s="37">
        <v>48519140</v>
      </c>
      <c r="N16" s="34">
        <f t="shared" ca="1" si="0"/>
        <v>96</v>
      </c>
      <c r="O16" s="34" t="str">
        <f t="shared" ca="1" si="1"/>
        <v>90+</v>
      </c>
      <c r="P16" s="35">
        <f t="shared" si="2"/>
        <v>7.7820043901178802E-4</v>
      </c>
      <c r="Q16" s="36">
        <f t="shared" si="3"/>
        <v>0.1</v>
      </c>
      <c r="R16" s="34" t="str">
        <f t="shared" si="4"/>
        <v>2M-5M</v>
      </c>
    </row>
    <row r="17" spans="4:18">
      <c r="D17" s="25" t="s">
        <v>126</v>
      </c>
      <c r="E17" s="25" t="s">
        <v>127</v>
      </c>
      <c r="F17" s="25" t="s">
        <v>128</v>
      </c>
      <c r="G17" s="26">
        <v>45788</v>
      </c>
      <c r="H17" s="26">
        <v>45940</v>
      </c>
      <c r="I17" s="37">
        <v>5306932</v>
      </c>
      <c r="J17" s="25" t="s">
        <v>99</v>
      </c>
      <c r="K17" s="25" t="s">
        <v>109</v>
      </c>
      <c r="L17" s="25" t="s">
        <v>121</v>
      </c>
      <c r="M17" s="37">
        <v>42455456</v>
      </c>
      <c r="N17" s="34">
        <f t="shared" ca="1" si="0"/>
        <v>143</v>
      </c>
      <c r="O17" s="34" t="str">
        <f t="shared" ca="1" si="1"/>
        <v>90+</v>
      </c>
      <c r="P17" s="35">
        <f t="shared" si="2"/>
        <v>8.5118095914431019E-4</v>
      </c>
      <c r="Q17" s="36">
        <f t="shared" si="3"/>
        <v>0.125</v>
      </c>
      <c r="R17" s="34" t="str">
        <f t="shared" si="4"/>
        <v>&gt;5M</v>
      </c>
    </row>
    <row r="18" spans="4:18">
      <c r="D18" s="25" t="s">
        <v>129</v>
      </c>
      <c r="E18" s="25" t="s">
        <v>130</v>
      </c>
      <c r="F18" s="25" t="s">
        <v>131</v>
      </c>
      <c r="G18" s="26">
        <v>45998</v>
      </c>
      <c r="H18" s="26">
        <v>46091</v>
      </c>
      <c r="I18" s="37">
        <v>500000000</v>
      </c>
      <c r="J18" s="25" t="s">
        <v>99</v>
      </c>
      <c r="K18" s="25" t="s">
        <v>109</v>
      </c>
      <c r="L18" s="25" t="s">
        <v>90</v>
      </c>
      <c r="M18" s="37">
        <v>4000000000</v>
      </c>
      <c r="N18" s="34">
        <f t="shared" ca="1" si="0"/>
        <v>0</v>
      </c>
      <c r="O18" s="34" t="str">
        <f t="shared" ca="1" si="1"/>
        <v>Current</v>
      </c>
      <c r="P18" s="35">
        <f t="shared" si="2"/>
        <v>8.0195201214591602E-2</v>
      </c>
      <c r="Q18" s="36">
        <f t="shared" si="3"/>
        <v>0.125</v>
      </c>
      <c r="R18" s="34" t="str">
        <f t="shared" si="4"/>
        <v>&gt;5M</v>
      </c>
    </row>
    <row r="19" spans="4:18">
      <c r="D19" s="25" t="s">
        <v>118</v>
      </c>
      <c r="E19" s="25" t="s">
        <v>119</v>
      </c>
      <c r="F19" s="25" t="s">
        <v>132</v>
      </c>
      <c r="G19" s="26">
        <v>46021</v>
      </c>
      <c r="H19" s="26">
        <v>45926</v>
      </c>
      <c r="I19" s="37">
        <v>2966797</v>
      </c>
      <c r="J19" s="25" t="s">
        <v>133</v>
      </c>
      <c r="K19" s="25" t="s">
        <v>134</v>
      </c>
      <c r="L19" s="25" t="s">
        <v>114</v>
      </c>
      <c r="M19" s="37">
        <v>20767579</v>
      </c>
      <c r="N19" s="34">
        <f t="shared" ca="1" si="0"/>
        <v>157</v>
      </c>
      <c r="O19" s="34" t="str">
        <f t="shared" ca="1" si="1"/>
        <v>90+</v>
      </c>
      <c r="P19" s="35">
        <f t="shared" si="2"/>
        <v>4.7584576475569347E-4</v>
      </c>
      <c r="Q19" s="36">
        <f t="shared" si="3"/>
        <v>0.14285714285714285</v>
      </c>
      <c r="R19" s="34" t="str">
        <f t="shared" si="4"/>
        <v>2M-5M</v>
      </c>
    </row>
    <row r="20" spans="4:18">
      <c r="D20" s="25" t="s">
        <v>135</v>
      </c>
      <c r="E20" s="25" t="s">
        <v>136</v>
      </c>
      <c r="F20" s="25" t="s">
        <v>137</v>
      </c>
      <c r="G20" s="26">
        <v>45862</v>
      </c>
      <c r="H20" s="26">
        <v>46018</v>
      </c>
      <c r="I20" s="37">
        <v>5459976</v>
      </c>
      <c r="J20" s="25" t="s">
        <v>52</v>
      </c>
      <c r="K20" s="25" t="s">
        <v>109</v>
      </c>
      <c r="L20" s="25" t="s">
        <v>138</v>
      </c>
      <c r="M20" s="37">
        <v>38219832</v>
      </c>
      <c r="N20" s="34">
        <f t="shared" ca="1" si="0"/>
        <v>65</v>
      </c>
      <c r="O20" s="34" t="str">
        <f t="shared" ca="1" si="1"/>
        <v>61-90</v>
      </c>
      <c r="P20" s="35">
        <f t="shared" si="2"/>
        <v>8.7572774789368207E-4</v>
      </c>
      <c r="Q20" s="36">
        <f t="shared" si="3"/>
        <v>0.14285714285714285</v>
      </c>
      <c r="R20" s="34" t="str">
        <f t="shared" si="4"/>
        <v>&gt;5M</v>
      </c>
    </row>
    <row r="21" spans="4:18">
      <c r="D21" s="25" t="s">
        <v>91</v>
      </c>
      <c r="E21" s="25" t="s">
        <v>92</v>
      </c>
      <c r="F21" s="25" t="s">
        <v>139</v>
      </c>
      <c r="G21" s="26">
        <v>45836</v>
      </c>
      <c r="H21" s="26">
        <v>46009</v>
      </c>
      <c r="I21" s="37">
        <v>4105356</v>
      </c>
      <c r="J21" s="25" t="s">
        <v>99</v>
      </c>
      <c r="K21" s="25" t="s">
        <v>94</v>
      </c>
      <c r="L21" s="25" t="s">
        <v>138</v>
      </c>
      <c r="M21" s="37">
        <v>8210712</v>
      </c>
      <c r="N21" s="34">
        <f t="shared" ca="1" si="0"/>
        <v>74</v>
      </c>
      <c r="O21" s="34" t="str">
        <f t="shared" ca="1" si="1"/>
        <v>61-90</v>
      </c>
      <c r="P21" s="35">
        <f t="shared" si="2"/>
        <v>6.5845970095506192E-4</v>
      </c>
      <c r="Q21" s="36">
        <f t="shared" si="3"/>
        <v>0.5</v>
      </c>
      <c r="R21" s="34" t="str">
        <f t="shared" si="4"/>
        <v>2M-5M</v>
      </c>
    </row>
    <row r="22" spans="4:18">
      <c r="D22" s="25" t="s">
        <v>140</v>
      </c>
      <c r="E22" s="25" t="s">
        <v>141</v>
      </c>
      <c r="F22" s="25" t="s">
        <v>142</v>
      </c>
      <c r="G22" s="26">
        <v>45945</v>
      </c>
      <c r="H22" s="26">
        <v>45916</v>
      </c>
      <c r="I22" s="37">
        <v>100000000</v>
      </c>
      <c r="J22" s="25" t="s">
        <v>99</v>
      </c>
      <c r="K22" s="25" t="s">
        <v>125</v>
      </c>
      <c r="L22" s="25" t="s">
        <v>90</v>
      </c>
      <c r="M22" s="37">
        <v>400000000</v>
      </c>
      <c r="N22" s="34">
        <f t="shared" ca="1" si="0"/>
        <v>167</v>
      </c>
      <c r="O22" s="34" t="str">
        <f t="shared" ca="1" si="1"/>
        <v>90+</v>
      </c>
      <c r="P22" s="35">
        <f t="shared" si="2"/>
        <v>1.6039040242918322E-2</v>
      </c>
      <c r="Q22" s="36">
        <f t="shared" si="3"/>
        <v>0.25</v>
      </c>
      <c r="R22" s="34" t="str">
        <f t="shared" si="4"/>
        <v>&gt;5M</v>
      </c>
    </row>
    <row r="23" spans="4:18">
      <c r="D23" s="25" t="s">
        <v>143</v>
      </c>
      <c r="E23" s="25" t="s">
        <v>144</v>
      </c>
      <c r="F23" s="25" t="s">
        <v>145</v>
      </c>
      <c r="G23" s="26">
        <v>45764</v>
      </c>
      <c r="H23" s="26">
        <v>45908</v>
      </c>
      <c r="I23" s="37">
        <v>6277622</v>
      </c>
      <c r="J23" s="25" t="s">
        <v>52</v>
      </c>
      <c r="K23" s="25" t="s">
        <v>125</v>
      </c>
      <c r="L23" s="25" t="s">
        <v>138</v>
      </c>
      <c r="M23" s="37">
        <v>62776220</v>
      </c>
      <c r="N23" s="34">
        <f t="shared" ca="1" si="0"/>
        <v>175</v>
      </c>
      <c r="O23" s="34" t="str">
        <f t="shared" ca="1" si="1"/>
        <v>90+</v>
      </c>
      <c r="P23" s="35">
        <f t="shared" si="2"/>
        <v>1.006870318878294E-3</v>
      </c>
      <c r="Q23" s="36">
        <f t="shared" si="3"/>
        <v>0.1</v>
      </c>
      <c r="R23" s="34" t="str">
        <f t="shared" si="4"/>
        <v>&gt;5M</v>
      </c>
    </row>
    <row r="24" spans="4:18">
      <c r="D24" s="25" t="s">
        <v>146</v>
      </c>
      <c r="E24" s="25" t="s">
        <v>147</v>
      </c>
      <c r="F24" s="25" t="s">
        <v>148</v>
      </c>
      <c r="G24" s="26">
        <v>45750</v>
      </c>
      <c r="H24" s="26">
        <v>46066</v>
      </c>
      <c r="I24" s="37">
        <v>7761557</v>
      </c>
      <c r="J24" s="25" t="s">
        <v>99</v>
      </c>
      <c r="K24" s="25" t="s">
        <v>89</v>
      </c>
      <c r="L24" s="25" t="s">
        <v>110</v>
      </c>
      <c r="M24" s="37">
        <v>31046228</v>
      </c>
      <c r="N24" s="34">
        <f t="shared" ca="1" si="0"/>
        <v>17</v>
      </c>
      <c r="O24" s="34" t="str">
        <f t="shared" ca="1" si="1"/>
        <v>1-30</v>
      </c>
      <c r="P24" s="35">
        <f t="shared" si="2"/>
        <v>1.2448792507070441E-3</v>
      </c>
      <c r="Q24" s="36">
        <f t="shared" si="3"/>
        <v>0.25</v>
      </c>
      <c r="R24" s="34" t="str">
        <f t="shared" si="4"/>
        <v>&gt;5M</v>
      </c>
    </row>
    <row r="25" spans="4:18">
      <c r="D25" s="25" t="s">
        <v>149</v>
      </c>
      <c r="E25" s="25" t="s">
        <v>150</v>
      </c>
      <c r="F25" s="25" t="s">
        <v>151</v>
      </c>
      <c r="G25" s="26">
        <v>45952</v>
      </c>
      <c r="H25" s="26">
        <v>45931</v>
      </c>
      <c r="I25" s="37">
        <v>7559100</v>
      </c>
      <c r="J25" s="25" t="s">
        <v>52</v>
      </c>
      <c r="K25" s="25" t="s">
        <v>134</v>
      </c>
      <c r="L25" s="25" t="s">
        <v>90</v>
      </c>
      <c r="M25" s="37">
        <v>60472800</v>
      </c>
      <c r="N25" s="34">
        <f t="shared" ca="1" si="0"/>
        <v>152</v>
      </c>
      <c r="O25" s="34" t="str">
        <f t="shared" ca="1" si="1"/>
        <v>90+</v>
      </c>
      <c r="P25" s="35">
        <f t="shared" si="2"/>
        <v>1.2124070910024389E-3</v>
      </c>
      <c r="Q25" s="36">
        <f t="shared" si="3"/>
        <v>0.125</v>
      </c>
      <c r="R25" s="34" t="str">
        <f t="shared" si="4"/>
        <v>&gt;5M</v>
      </c>
    </row>
    <row r="26" spans="4:18">
      <c r="D26" s="25" t="s">
        <v>152</v>
      </c>
      <c r="E26" s="25" t="s">
        <v>153</v>
      </c>
      <c r="F26" s="25" t="s">
        <v>154</v>
      </c>
      <c r="G26" s="26">
        <v>45875</v>
      </c>
      <c r="H26" s="26">
        <v>46078</v>
      </c>
      <c r="I26" s="37">
        <v>7446335</v>
      </c>
      <c r="J26" s="25" t="s">
        <v>99</v>
      </c>
      <c r="K26" s="25" t="s">
        <v>94</v>
      </c>
      <c r="L26" s="25" t="s">
        <v>121</v>
      </c>
      <c r="M26" s="37">
        <v>59570680</v>
      </c>
      <c r="N26" s="34">
        <f t="shared" ca="1" si="0"/>
        <v>5</v>
      </c>
      <c r="O26" s="34" t="str">
        <f t="shared" ca="1" si="1"/>
        <v>1-30</v>
      </c>
      <c r="P26" s="35">
        <f t="shared" si="2"/>
        <v>1.194320667272512E-3</v>
      </c>
      <c r="Q26" s="36">
        <f t="shared" si="3"/>
        <v>0.125</v>
      </c>
      <c r="R26" s="34" t="str">
        <f t="shared" si="4"/>
        <v>&gt;5M</v>
      </c>
    </row>
    <row r="27" spans="4:18">
      <c r="D27" s="25" t="s">
        <v>100</v>
      </c>
      <c r="E27" s="25" t="s">
        <v>101</v>
      </c>
      <c r="F27" s="25" t="s">
        <v>155</v>
      </c>
      <c r="G27" s="26">
        <v>45850</v>
      </c>
      <c r="H27" s="26">
        <v>46129</v>
      </c>
      <c r="I27" s="37">
        <v>2236266</v>
      </c>
      <c r="J27" s="25" t="s">
        <v>133</v>
      </c>
      <c r="K27" s="25" t="s">
        <v>94</v>
      </c>
      <c r="L27" s="25" t="s">
        <v>110</v>
      </c>
      <c r="M27" s="37">
        <v>6708798</v>
      </c>
      <c r="N27" s="34">
        <f t="shared" ca="1" si="0"/>
        <v>0</v>
      </c>
      <c r="O27" s="34" t="str">
        <f t="shared" ca="1" si="1"/>
        <v>Current</v>
      </c>
      <c r="P27" s="35">
        <f t="shared" si="2"/>
        <v>3.5867560367869983E-4</v>
      </c>
      <c r="Q27" s="36">
        <f t="shared" si="3"/>
        <v>0.33333333333333331</v>
      </c>
      <c r="R27" s="34" t="str">
        <f t="shared" si="4"/>
        <v>2M-5M</v>
      </c>
    </row>
    <row r="28" spans="4:18">
      <c r="D28" s="25" t="s">
        <v>156</v>
      </c>
      <c r="E28" s="25" t="s">
        <v>157</v>
      </c>
      <c r="F28" s="25" t="s">
        <v>158</v>
      </c>
      <c r="G28" s="26">
        <v>46014</v>
      </c>
      <c r="H28" s="26">
        <v>45933</v>
      </c>
      <c r="I28" s="37">
        <v>2479535</v>
      </c>
      <c r="J28" s="25" t="s">
        <v>133</v>
      </c>
      <c r="K28" s="25" t="s">
        <v>134</v>
      </c>
      <c r="L28" s="25" t="s">
        <v>95</v>
      </c>
      <c r="M28" s="37">
        <v>12397675</v>
      </c>
      <c r="N28" s="34">
        <f t="shared" ca="1" si="0"/>
        <v>150</v>
      </c>
      <c r="O28" s="34" t="str">
        <f t="shared" ca="1" si="1"/>
        <v>90+</v>
      </c>
      <c r="P28" s="35">
        <f t="shared" si="2"/>
        <v>3.9769361648724479E-4</v>
      </c>
      <c r="Q28" s="36">
        <f t="shared" si="3"/>
        <v>0.2</v>
      </c>
      <c r="R28" s="34" t="str">
        <f t="shared" si="4"/>
        <v>2M-5M</v>
      </c>
    </row>
    <row r="29" spans="4:18">
      <c r="D29" s="25" t="s">
        <v>159</v>
      </c>
      <c r="E29" s="25" t="s">
        <v>160</v>
      </c>
      <c r="F29" s="25" t="s">
        <v>161</v>
      </c>
      <c r="G29" s="26">
        <v>45789</v>
      </c>
      <c r="H29" s="26">
        <v>46100</v>
      </c>
      <c r="I29" s="37">
        <v>3789713</v>
      </c>
      <c r="J29" s="25" t="s">
        <v>52</v>
      </c>
      <c r="K29" s="25" t="s">
        <v>94</v>
      </c>
      <c r="L29" s="25" t="s">
        <v>138</v>
      </c>
      <c r="M29" s="37">
        <v>26527991</v>
      </c>
      <c r="N29" s="34">
        <f t="shared" ca="1" si="0"/>
        <v>0</v>
      </c>
      <c r="O29" s="34" t="str">
        <f t="shared" ca="1" si="1"/>
        <v>Current</v>
      </c>
      <c r="P29" s="35">
        <f t="shared" si="2"/>
        <v>6.0783359316110726E-4</v>
      </c>
      <c r="Q29" s="36">
        <f t="shared" si="3"/>
        <v>0.14285714285714285</v>
      </c>
      <c r="R29" s="34" t="str">
        <f t="shared" si="4"/>
        <v>2M-5M</v>
      </c>
    </row>
    <row r="30" spans="4:18">
      <c r="D30" s="25" t="s">
        <v>162</v>
      </c>
      <c r="E30" s="25" t="s">
        <v>163</v>
      </c>
      <c r="F30" s="25" t="s">
        <v>164</v>
      </c>
      <c r="G30" s="26">
        <v>45993</v>
      </c>
      <c r="H30" s="26">
        <v>46111</v>
      </c>
      <c r="I30" s="37">
        <v>2326229</v>
      </c>
      <c r="J30" s="25" t="s">
        <v>52</v>
      </c>
      <c r="K30" s="25" t="s">
        <v>109</v>
      </c>
      <c r="L30" s="25" t="s">
        <v>110</v>
      </c>
      <c r="M30" s="37">
        <v>20936061</v>
      </c>
      <c r="N30" s="34">
        <f t="shared" ca="1" si="0"/>
        <v>0</v>
      </c>
      <c r="O30" s="34" t="str">
        <f t="shared" ca="1" si="1"/>
        <v>Current</v>
      </c>
      <c r="P30" s="35">
        <f t="shared" si="2"/>
        <v>3.7310480545243643E-4</v>
      </c>
      <c r="Q30" s="36">
        <f t="shared" si="3"/>
        <v>0.1111111111111111</v>
      </c>
      <c r="R30" s="34" t="str">
        <f t="shared" si="4"/>
        <v>2M-5M</v>
      </c>
    </row>
    <row r="31" spans="4:18">
      <c r="D31" s="25" t="s">
        <v>165</v>
      </c>
      <c r="E31" s="25" t="s">
        <v>166</v>
      </c>
      <c r="F31" s="25" t="s">
        <v>167</v>
      </c>
      <c r="G31" s="26">
        <v>45809</v>
      </c>
      <c r="H31" s="26">
        <v>46089</v>
      </c>
      <c r="I31" s="37">
        <v>3682459</v>
      </c>
      <c r="J31" s="25" t="s">
        <v>52</v>
      </c>
      <c r="K31" s="25" t="s">
        <v>56</v>
      </c>
      <c r="L31" s="25" t="s">
        <v>138</v>
      </c>
      <c r="M31" s="37">
        <v>25777213</v>
      </c>
      <c r="N31" s="34">
        <f t="shared" ca="1" si="0"/>
        <v>0</v>
      </c>
      <c r="O31" s="34" t="str">
        <f t="shared" ca="1" si="1"/>
        <v>Current</v>
      </c>
      <c r="P31" s="35">
        <f t="shared" si="2"/>
        <v>5.9063108093896765E-4</v>
      </c>
      <c r="Q31" s="36">
        <f t="shared" si="3"/>
        <v>0.14285714285714285</v>
      </c>
      <c r="R31" s="34" t="str">
        <f t="shared" si="4"/>
        <v>2M-5M</v>
      </c>
    </row>
    <row r="32" spans="4:18">
      <c r="D32" s="25" t="s">
        <v>168</v>
      </c>
      <c r="E32" s="25" t="s">
        <v>169</v>
      </c>
      <c r="F32" s="25" t="s">
        <v>170</v>
      </c>
      <c r="G32" s="26">
        <v>45751</v>
      </c>
      <c r="H32" s="26">
        <v>46059</v>
      </c>
      <c r="I32" s="37">
        <v>7790073</v>
      </c>
      <c r="J32" s="25" t="s">
        <v>52</v>
      </c>
      <c r="K32" s="25" t="s">
        <v>94</v>
      </c>
      <c r="L32" s="25" t="s">
        <v>95</v>
      </c>
      <c r="M32" s="37">
        <v>54530511</v>
      </c>
      <c r="N32" s="34">
        <f t="shared" ca="1" si="0"/>
        <v>24</v>
      </c>
      <c r="O32" s="34" t="str">
        <f t="shared" ca="1" si="1"/>
        <v>1-30</v>
      </c>
      <c r="P32" s="35">
        <f t="shared" si="2"/>
        <v>1.2494529434227146E-3</v>
      </c>
      <c r="Q32" s="36">
        <f t="shared" si="3"/>
        <v>0.14285714285714285</v>
      </c>
      <c r="R32" s="34" t="str">
        <f t="shared" si="4"/>
        <v>&gt;5M</v>
      </c>
    </row>
    <row r="33" spans="4:18">
      <c r="D33" s="25" t="s">
        <v>171</v>
      </c>
      <c r="E33" s="25" t="s">
        <v>172</v>
      </c>
      <c r="F33" s="25" t="s">
        <v>173</v>
      </c>
      <c r="G33" s="26">
        <v>45937</v>
      </c>
      <c r="H33" s="26">
        <v>45938</v>
      </c>
      <c r="I33" s="37">
        <v>7648640</v>
      </c>
      <c r="J33" s="25" t="s">
        <v>99</v>
      </c>
      <c r="K33" s="25" t="s">
        <v>89</v>
      </c>
      <c r="L33" s="25" t="s">
        <v>114</v>
      </c>
      <c r="M33" s="37">
        <v>61189120</v>
      </c>
      <c r="N33" s="34">
        <f t="shared" ca="1" si="0"/>
        <v>145</v>
      </c>
      <c r="O33" s="34" t="str">
        <f t="shared" ca="1" si="1"/>
        <v>90+</v>
      </c>
      <c r="P33" s="35">
        <f t="shared" si="2"/>
        <v>1.2267684476359479E-3</v>
      </c>
      <c r="Q33" s="36">
        <f t="shared" si="3"/>
        <v>0.125</v>
      </c>
      <c r="R33" s="34" t="str">
        <f t="shared" si="4"/>
        <v>&gt;5M</v>
      </c>
    </row>
    <row r="34" spans="4:18">
      <c r="D34" s="25" t="s">
        <v>174</v>
      </c>
      <c r="E34" s="25" t="s">
        <v>175</v>
      </c>
      <c r="F34" s="25" t="s">
        <v>176</v>
      </c>
      <c r="G34" s="26">
        <v>45947</v>
      </c>
      <c r="H34" s="26">
        <v>45976</v>
      </c>
      <c r="I34" s="37">
        <v>2626852</v>
      </c>
      <c r="J34" s="25" t="s">
        <v>52</v>
      </c>
      <c r="K34" s="25" t="s">
        <v>109</v>
      </c>
      <c r="L34" s="25" t="s">
        <v>95</v>
      </c>
      <c r="M34" s="37">
        <v>5253704</v>
      </c>
      <c r="N34" s="34">
        <f t="shared" ca="1" si="0"/>
        <v>107</v>
      </c>
      <c r="O34" s="34" t="str">
        <f t="shared" ca="1" si="1"/>
        <v>90+</v>
      </c>
      <c r="P34" s="35">
        <f t="shared" si="2"/>
        <v>4.2132184940190477E-4</v>
      </c>
      <c r="Q34" s="36">
        <f t="shared" si="3"/>
        <v>0.5</v>
      </c>
      <c r="R34" s="34" t="str">
        <f t="shared" si="4"/>
        <v>2M-5M</v>
      </c>
    </row>
    <row r="35" spans="4:18">
      <c r="D35" s="25" t="s">
        <v>177</v>
      </c>
      <c r="E35" s="25" t="s">
        <v>178</v>
      </c>
      <c r="F35" s="25" t="s">
        <v>179</v>
      </c>
      <c r="G35" s="26">
        <v>45877</v>
      </c>
      <c r="H35" s="26">
        <v>46111</v>
      </c>
      <c r="I35" s="37">
        <v>350000000</v>
      </c>
      <c r="J35" s="25" t="s">
        <v>52</v>
      </c>
      <c r="K35" s="25" t="s">
        <v>56</v>
      </c>
      <c r="L35" s="25" t="s">
        <v>121</v>
      </c>
      <c r="M35" s="37">
        <v>2450000000</v>
      </c>
      <c r="N35" s="34">
        <f t="shared" ca="1" si="0"/>
        <v>0</v>
      </c>
      <c r="O35" s="34" t="str">
        <f t="shared" ca="1" si="1"/>
        <v>Current</v>
      </c>
      <c r="P35" s="35">
        <f t="shared" si="2"/>
        <v>5.6136640850214123E-2</v>
      </c>
      <c r="Q35" s="36">
        <f t="shared" si="3"/>
        <v>0.14285714285714285</v>
      </c>
      <c r="R35" s="34" t="str">
        <f t="shared" si="4"/>
        <v>&gt;5M</v>
      </c>
    </row>
    <row r="36" spans="4:18">
      <c r="D36" s="25" t="s">
        <v>180</v>
      </c>
      <c r="E36" s="25" t="s">
        <v>181</v>
      </c>
      <c r="F36" s="25" t="s">
        <v>182</v>
      </c>
      <c r="G36" s="26">
        <v>46028</v>
      </c>
      <c r="H36" s="26">
        <v>46102</v>
      </c>
      <c r="I36" s="37">
        <v>3404141</v>
      </c>
      <c r="J36" s="25" t="s">
        <v>52</v>
      </c>
      <c r="K36" s="25" t="s">
        <v>56</v>
      </c>
      <c r="L36" s="25" t="s">
        <v>114</v>
      </c>
      <c r="M36" s="37">
        <v>17020705</v>
      </c>
      <c r="N36" s="34">
        <f t="shared" ca="1" si="0"/>
        <v>0</v>
      </c>
      <c r="O36" s="34" t="str">
        <f t="shared" ca="1" si="1"/>
        <v>Current</v>
      </c>
      <c r="P36" s="35">
        <f t="shared" si="2"/>
        <v>5.4599154491568214E-4</v>
      </c>
      <c r="Q36" s="36">
        <f t="shared" si="3"/>
        <v>0.2</v>
      </c>
      <c r="R36" s="34" t="str">
        <f t="shared" si="4"/>
        <v>2M-5M</v>
      </c>
    </row>
    <row r="37" spans="4:18">
      <c r="D37" s="25" t="s">
        <v>183</v>
      </c>
      <c r="E37" s="25" t="s">
        <v>184</v>
      </c>
      <c r="F37" s="25" t="s">
        <v>185</v>
      </c>
      <c r="G37" s="26">
        <v>45774</v>
      </c>
      <c r="H37" s="26">
        <v>46098</v>
      </c>
      <c r="I37" s="37">
        <v>299262</v>
      </c>
      <c r="J37" s="25" t="s">
        <v>133</v>
      </c>
      <c r="K37" s="25" t="s">
        <v>89</v>
      </c>
      <c r="L37" s="25" t="s">
        <v>114</v>
      </c>
      <c r="M37" s="37">
        <v>2094834</v>
      </c>
      <c r="N37" s="34">
        <f t="shared" ca="1" si="0"/>
        <v>0</v>
      </c>
      <c r="O37" s="34" t="str">
        <f t="shared" ca="1" si="1"/>
        <v>Current</v>
      </c>
      <c r="P37" s="35">
        <f t="shared" si="2"/>
        <v>4.7998752611762228E-5</v>
      </c>
      <c r="Q37" s="36">
        <f t="shared" si="3"/>
        <v>0.14285714285714285</v>
      </c>
      <c r="R37" s="34" t="str">
        <f t="shared" si="4"/>
        <v>&lt;500K</v>
      </c>
    </row>
    <row r="38" spans="4:18">
      <c r="D38" s="25" t="s">
        <v>186</v>
      </c>
      <c r="E38" s="25" t="s">
        <v>187</v>
      </c>
      <c r="F38" s="25" t="s">
        <v>188</v>
      </c>
      <c r="G38" s="26">
        <v>45752</v>
      </c>
      <c r="H38" s="26">
        <v>45920</v>
      </c>
      <c r="I38" s="37">
        <v>3763235</v>
      </c>
      <c r="J38" s="25" t="s">
        <v>133</v>
      </c>
      <c r="K38" s="25" t="s">
        <v>56</v>
      </c>
      <c r="L38" s="25" t="s">
        <v>90</v>
      </c>
      <c r="M38" s="37">
        <v>33869115</v>
      </c>
      <c r="N38" s="34">
        <f t="shared" ca="1" si="0"/>
        <v>163</v>
      </c>
      <c r="O38" s="34" t="str">
        <f t="shared" ca="1" si="1"/>
        <v>90+</v>
      </c>
      <c r="P38" s="35">
        <f t="shared" si="2"/>
        <v>6.0358677608558732E-4</v>
      </c>
      <c r="Q38" s="36">
        <f t="shared" si="3"/>
        <v>0.1111111111111111</v>
      </c>
      <c r="R38" s="34" t="str">
        <f t="shared" si="4"/>
        <v>2M-5M</v>
      </c>
    </row>
    <row r="39" spans="4:18">
      <c r="D39" s="25" t="s">
        <v>189</v>
      </c>
      <c r="E39" s="25" t="s">
        <v>190</v>
      </c>
      <c r="F39" s="25" t="s">
        <v>191</v>
      </c>
      <c r="G39" s="26">
        <v>45847</v>
      </c>
      <c r="H39" s="26">
        <v>46030</v>
      </c>
      <c r="I39" s="37">
        <v>700000000</v>
      </c>
      <c r="J39" s="25" t="s">
        <v>99</v>
      </c>
      <c r="K39" s="25" t="s">
        <v>109</v>
      </c>
      <c r="L39" s="25" t="s">
        <v>90</v>
      </c>
      <c r="M39" s="37">
        <v>7000000000</v>
      </c>
      <c r="N39" s="34">
        <f t="shared" ca="1" si="0"/>
        <v>53</v>
      </c>
      <c r="O39" s="34" t="str">
        <f t="shared" ca="1" si="1"/>
        <v>31-60</v>
      </c>
      <c r="P39" s="35">
        <f t="shared" si="2"/>
        <v>0.11227328170042825</v>
      </c>
      <c r="Q39" s="36">
        <f t="shared" si="3"/>
        <v>0.1</v>
      </c>
      <c r="R39" s="34" t="str">
        <f t="shared" si="4"/>
        <v>&gt;5M</v>
      </c>
    </row>
    <row r="40" spans="4:18">
      <c r="D40" s="25" t="s">
        <v>192</v>
      </c>
      <c r="E40" s="25" t="s">
        <v>193</v>
      </c>
      <c r="F40" s="25" t="s">
        <v>194</v>
      </c>
      <c r="G40" s="26">
        <v>45921</v>
      </c>
      <c r="H40" s="26">
        <v>45950</v>
      </c>
      <c r="I40" s="37">
        <v>5128956</v>
      </c>
      <c r="J40" s="25" t="s">
        <v>52</v>
      </c>
      <c r="K40" s="25" t="s">
        <v>125</v>
      </c>
      <c r="L40" s="25" t="s">
        <v>95</v>
      </c>
      <c r="M40" s="37">
        <v>20515824</v>
      </c>
      <c r="N40" s="34">
        <f t="shared" ca="1" si="0"/>
        <v>133</v>
      </c>
      <c r="O40" s="34" t="str">
        <f t="shared" ca="1" si="1"/>
        <v>90+</v>
      </c>
      <c r="P40" s="35">
        <f t="shared" si="2"/>
        <v>8.2263531688157388E-4</v>
      </c>
      <c r="Q40" s="36">
        <f t="shared" si="3"/>
        <v>0.25</v>
      </c>
      <c r="R40" s="34" t="str">
        <f t="shared" si="4"/>
        <v>&gt;5M</v>
      </c>
    </row>
    <row r="41" spans="4:18">
      <c r="D41" s="25" t="s">
        <v>195</v>
      </c>
      <c r="E41" s="25" t="s">
        <v>196</v>
      </c>
      <c r="F41" s="25" t="s">
        <v>197</v>
      </c>
      <c r="G41" s="26">
        <v>45793</v>
      </c>
      <c r="H41" s="26">
        <v>45918</v>
      </c>
      <c r="I41" s="37">
        <v>2752159</v>
      </c>
      <c r="J41" s="25" t="s">
        <v>99</v>
      </c>
      <c r="K41" s="25" t="s">
        <v>125</v>
      </c>
      <c r="L41" s="25" t="s">
        <v>95</v>
      </c>
      <c r="M41" s="37">
        <v>19265113</v>
      </c>
      <c r="N41" s="34">
        <f t="shared" ca="1" si="0"/>
        <v>165</v>
      </c>
      <c r="O41" s="34" t="str">
        <f t="shared" ca="1" si="1"/>
        <v>90+</v>
      </c>
      <c r="P41" s="35">
        <f t="shared" si="2"/>
        <v>4.4141988955909844E-4</v>
      </c>
      <c r="Q41" s="36">
        <f t="shared" si="3"/>
        <v>0.14285714285714285</v>
      </c>
      <c r="R41" s="34" t="str">
        <f t="shared" si="4"/>
        <v>2M-5M</v>
      </c>
    </row>
    <row r="42" spans="4:18">
      <c r="D42" s="25" t="s">
        <v>198</v>
      </c>
      <c r="E42" s="25" t="s">
        <v>199</v>
      </c>
      <c r="F42" s="25" t="s">
        <v>200</v>
      </c>
      <c r="G42" s="26">
        <v>45949</v>
      </c>
      <c r="H42" s="26">
        <v>46007</v>
      </c>
      <c r="I42" s="37">
        <v>7774769</v>
      </c>
      <c r="J42" s="25" t="s">
        <v>52</v>
      </c>
      <c r="K42" s="25" t="s">
        <v>89</v>
      </c>
      <c r="L42" s="25" t="s">
        <v>114</v>
      </c>
      <c r="M42" s="37">
        <v>31099076</v>
      </c>
      <c r="N42" s="34">
        <f t="shared" ca="1" si="0"/>
        <v>76</v>
      </c>
      <c r="O42" s="34" t="str">
        <f t="shared" ca="1" si="1"/>
        <v>61-90</v>
      </c>
      <c r="P42" s="35">
        <f t="shared" si="2"/>
        <v>1.2469983287039384E-3</v>
      </c>
      <c r="Q42" s="36">
        <f t="shared" si="3"/>
        <v>0.25</v>
      </c>
      <c r="R42" s="34" t="str">
        <f t="shared" si="4"/>
        <v>&gt;5M</v>
      </c>
    </row>
    <row r="43" spans="4:18">
      <c r="D43" s="25" t="s">
        <v>201</v>
      </c>
      <c r="E43" s="25" t="s">
        <v>202</v>
      </c>
      <c r="F43" s="25" t="s">
        <v>203</v>
      </c>
      <c r="G43" s="26">
        <v>45722</v>
      </c>
      <c r="H43" s="26">
        <v>46069</v>
      </c>
      <c r="I43" s="37">
        <v>4943448</v>
      </c>
      <c r="J43" s="25" t="s">
        <v>52</v>
      </c>
      <c r="K43" s="25" t="s">
        <v>89</v>
      </c>
      <c r="L43" s="25" t="s">
        <v>95</v>
      </c>
      <c r="M43" s="37">
        <v>24717240</v>
      </c>
      <c r="N43" s="34">
        <f t="shared" ca="1" si="0"/>
        <v>14</v>
      </c>
      <c r="O43" s="34" t="str">
        <f t="shared" ca="1" si="1"/>
        <v>1-30</v>
      </c>
      <c r="P43" s="35">
        <f t="shared" si="2"/>
        <v>7.9288161410774095E-4</v>
      </c>
      <c r="Q43" s="36">
        <f t="shared" si="3"/>
        <v>0.2</v>
      </c>
      <c r="R43" s="34" t="str">
        <f t="shared" si="4"/>
        <v>2M-5M</v>
      </c>
    </row>
    <row r="44" spans="4:18">
      <c r="D44" s="25" t="s">
        <v>86</v>
      </c>
      <c r="E44" s="25" t="s">
        <v>87</v>
      </c>
      <c r="F44" s="25" t="s">
        <v>204</v>
      </c>
      <c r="G44" s="26">
        <v>46001</v>
      </c>
      <c r="H44" s="26">
        <v>46059</v>
      </c>
      <c r="I44" s="37">
        <v>4551409</v>
      </c>
      <c r="J44" s="25" t="s">
        <v>52</v>
      </c>
      <c r="K44" s="25" t="s">
        <v>125</v>
      </c>
      <c r="L44" s="25" t="s">
        <v>121</v>
      </c>
      <c r="M44" s="37">
        <v>18205636</v>
      </c>
      <c r="N44" s="34">
        <f t="shared" ca="1" si="0"/>
        <v>24</v>
      </c>
      <c r="O44" s="34" t="str">
        <f t="shared" ca="1" si="1"/>
        <v>1-30</v>
      </c>
      <c r="P44" s="35">
        <f t="shared" si="2"/>
        <v>7.3000232112980633E-4</v>
      </c>
      <c r="Q44" s="36">
        <f t="shared" si="3"/>
        <v>0.25</v>
      </c>
      <c r="R44" s="34" t="str">
        <f t="shared" si="4"/>
        <v>2M-5M</v>
      </c>
    </row>
    <row r="45" spans="4:18">
      <c r="D45" s="25" t="s">
        <v>205</v>
      </c>
      <c r="E45" s="25" t="s">
        <v>206</v>
      </c>
      <c r="F45" s="25" t="s">
        <v>207</v>
      </c>
      <c r="G45" s="26">
        <v>46024</v>
      </c>
      <c r="H45" s="26">
        <v>45944</v>
      </c>
      <c r="I45" s="37">
        <v>1691019</v>
      </c>
      <c r="J45" s="25" t="s">
        <v>99</v>
      </c>
      <c r="K45" s="25" t="s">
        <v>134</v>
      </c>
      <c r="L45" s="25" t="s">
        <v>95</v>
      </c>
      <c r="M45" s="37">
        <v>6764076</v>
      </c>
      <c r="N45" s="34">
        <f t="shared" ca="1" si="0"/>
        <v>139</v>
      </c>
      <c r="O45" s="34" t="str">
        <f t="shared" ca="1" si="1"/>
        <v>90+</v>
      </c>
      <c r="P45" s="35">
        <f t="shared" si="2"/>
        <v>2.7122321792539498E-4</v>
      </c>
      <c r="Q45" s="36">
        <f t="shared" si="3"/>
        <v>0.25</v>
      </c>
      <c r="R45" s="34" t="str">
        <f t="shared" si="4"/>
        <v>500K-2M</v>
      </c>
    </row>
    <row r="46" spans="4:18">
      <c r="D46" s="25" t="s">
        <v>208</v>
      </c>
      <c r="E46" s="25" t="s">
        <v>209</v>
      </c>
      <c r="F46" s="25" t="s">
        <v>210</v>
      </c>
      <c r="G46" s="26">
        <v>45928</v>
      </c>
      <c r="H46" s="26">
        <v>45970</v>
      </c>
      <c r="I46" s="37">
        <v>2821472</v>
      </c>
      <c r="J46" s="25" t="s">
        <v>99</v>
      </c>
      <c r="K46" s="25" t="s">
        <v>56</v>
      </c>
      <c r="L46" s="25" t="s">
        <v>138</v>
      </c>
      <c r="M46" s="37">
        <v>11285888</v>
      </c>
      <c r="N46" s="34">
        <f t="shared" ca="1" si="0"/>
        <v>113</v>
      </c>
      <c r="O46" s="34" t="str">
        <f t="shared" ca="1" si="1"/>
        <v>90+</v>
      </c>
      <c r="P46" s="35">
        <f t="shared" si="2"/>
        <v>4.5253702952267243E-4</v>
      </c>
      <c r="Q46" s="36">
        <f t="shared" si="3"/>
        <v>0.25</v>
      </c>
      <c r="R46" s="34" t="str">
        <f t="shared" si="4"/>
        <v>2M-5M</v>
      </c>
    </row>
    <row r="47" spans="4:18">
      <c r="D47" s="25" t="s">
        <v>211</v>
      </c>
      <c r="E47" s="25" t="s">
        <v>212</v>
      </c>
      <c r="F47" s="25" t="s">
        <v>213</v>
      </c>
      <c r="G47" s="26">
        <v>45758</v>
      </c>
      <c r="H47" s="26">
        <v>46028</v>
      </c>
      <c r="I47" s="37">
        <v>4816302</v>
      </c>
      <c r="J47" s="25" t="s">
        <v>52</v>
      </c>
      <c r="K47" s="25" t="s">
        <v>125</v>
      </c>
      <c r="L47" s="25" t="s">
        <v>121</v>
      </c>
      <c r="M47" s="37">
        <v>33714114</v>
      </c>
      <c r="N47" s="34">
        <f t="shared" ca="1" si="0"/>
        <v>55</v>
      </c>
      <c r="O47" s="34" t="str">
        <f t="shared" ca="1" si="1"/>
        <v>31-60</v>
      </c>
      <c r="P47" s="35">
        <f t="shared" si="2"/>
        <v>7.7248861600048E-4</v>
      </c>
      <c r="Q47" s="36">
        <f t="shared" si="3"/>
        <v>0.14285714285714285</v>
      </c>
      <c r="R47" s="34" t="str">
        <f t="shared" si="4"/>
        <v>2M-5M</v>
      </c>
    </row>
    <row r="48" spans="4:18">
      <c r="D48" s="25" t="s">
        <v>211</v>
      </c>
      <c r="E48" s="25" t="s">
        <v>212</v>
      </c>
      <c r="F48" s="25" t="s">
        <v>214</v>
      </c>
      <c r="G48" s="26">
        <v>45974</v>
      </c>
      <c r="H48" s="26">
        <v>45987</v>
      </c>
      <c r="I48" s="37">
        <v>3158794</v>
      </c>
      <c r="J48" s="25" t="s">
        <v>99</v>
      </c>
      <c r="K48" s="25" t="s">
        <v>94</v>
      </c>
      <c r="L48" s="25" t="s">
        <v>114</v>
      </c>
      <c r="M48" s="37">
        <v>15793970</v>
      </c>
      <c r="N48" s="34">
        <f t="shared" ca="1" si="0"/>
        <v>96</v>
      </c>
      <c r="O48" s="34" t="str">
        <f t="shared" ca="1" si="1"/>
        <v>90+</v>
      </c>
      <c r="P48" s="35">
        <f t="shared" si="2"/>
        <v>5.066402408508894E-4</v>
      </c>
      <c r="Q48" s="36">
        <f t="shared" si="3"/>
        <v>0.2</v>
      </c>
      <c r="R48" s="34" t="str">
        <f t="shared" si="4"/>
        <v>2M-5M</v>
      </c>
    </row>
    <row r="49" spans="4:18">
      <c r="D49" s="25" t="s">
        <v>215</v>
      </c>
      <c r="E49" s="25" t="s">
        <v>216</v>
      </c>
      <c r="F49" s="25" t="s">
        <v>217</v>
      </c>
      <c r="G49" s="26">
        <v>46041</v>
      </c>
      <c r="H49" s="26">
        <v>45946</v>
      </c>
      <c r="I49" s="37">
        <v>5596976</v>
      </c>
      <c r="J49" s="25" t="s">
        <v>99</v>
      </c>
      <c r="K49" s="25" t="s">
        <v>134</v>
      </c>
      <c r="L49" s="25" t="s">
        <v>110</v>
      </c>
      <c r="M49" s="37">
        <v>55969760</v>
      </c>
      <c r="N49" s="34">
        <f t="shared" ca="1" si="0"/>
        <v>137</v>
      </c>
      <c r="O49" s="34" t="str">
        <f t="shared" ca="1" si="1"/>
        <v>90+</v>
      </c>
      <c r="P49" s="35">
        <f t="shared" si="2"/>
        <v>8.9770123302648015E-4</v>
      </c>
      <c r="Q49" s="36">
        <f t="shared" si="3"/>
        <v>0.1</v>
      </c>
      <c r="R49" s="34" t="str">
        <f t="shared" si="4"/>
        <v>&gt;5M</v>
      </c>
    </row>
    <row r="50" spans="4:18">
      <c r="D50" s="25" t="s">
        <v>218</v>
      </c>
      <c r="E50" s="25" t="s">
        <v>219</v>
      </c>
      <c r="F50" s="25" t="s">
        <v>220</v>
      </c>
      <c r="G50" s="26">
        <v>45836</v>
      </c>
      <c r="H50" s="26">
        <v>46036</v>
      </c>
      <c r="I50" s="37">
        <v>1064250</v>
      </c>
      <c r="J50" s="25" t="s">
        <v>52</v>
      </c>
      <c r="K50" s="25" t="s">
        <v>125</v>
      </c>
      <c r="L50" s="25" t="s">
        <v>114</v>
      </c>
      <c r="M50" s="37">
        <v>3192750</v>
      </c>
      <c r="N50" s="34">
        <f t="shared" ca="1" si="0"/>
        <v>47</v>
      </c>
      <c r="O50" s="34" t="str">
        <f t="shared" ca="1" si="1"/>
        <v>31-60</v>
      </c>
      <c r="P50" s="35">
        <f t="shared" si="2"/>
        <v>1.7069548578525824E-4</v>
      </c>
      <c r="Q50" s="36">
        <f t="shared" si="3"/>
        <v>0.33333333333333331</v>
      </c>
      <c r="R50" s="34" t="str">
        <f t="shared" si="4"/>
        <v>500K-2M</v>
      </c>
    </row>
    <row r="51" spans="4:18">
      <c r="D51" s="25" t="s">
        <v>152</v>
      </c>
      <c r="E51" s="25" t="s">
        <v>153</v>
      </c>
      <c r="F51" s="25" t="s">
        <v>221</v>
      </c>
      <c r="G51" s="26">
        <v>45897</v>
      </c>
      <c r="H51" s="26">
        <v>46029</v>
      </c>
      <c r="I51" s="37">
        <v>6065598</v>
      </c>
      <c r="J51" s="25" t="s">
        <v>52</v>
      </c>
      <c r="K51" s="25" t="s">
        <v>56</v>
      </c>
      <c r="L51" s="25" t="s">
        <v>138</v>
      </c>
      <c r="M51" s="37">
        <v>24262392</v>
      </c>
      <c r="N51" s="34">
        <f t="shared" ca="1" si="0"/>
        <v>54</v>
      </c>
      <c r="O51" s="34" t="str">
        <f t="shared" ca="1" si="1"/>
        <v>31-60</v>
      </c>
      <c r="P51" s="35">
        <f t="shared" si="2"/>
        <v>9.7286370419364884E-4</v>
      </c>
      <c r="Q51" s="36">
        <f t="shared" si="3"/>
        <v>0.25</v>
      </c>
      <c r="R51" s="34" t="str">
        <f t="shared" si="4"/>
        <v>&gt;5M</v>
      </c>
    </row>
    <row r="52" spans="4:18">
      <c r="D52" s="25" t="s">
        <v>201</v>
      </c>
      <c r="E52" s="25" t="s">
        <v>202</v>
      </c>
      <c r="F52" s="25" t="s">
        <v>222</v>
      </c>
      <c r="G52" s="26">
        <v>45925</v>
      </c>
      <c r="H52" s="26">
        <v>45928</v>
      </c>
      <c r="I52" s="37">
        <v>2249385</v>
      </c>
      <c r="J52" s="25" t="s">
        <v>99</v>
      </c>
      <c r="K52" s="25" t="s">
        <v>94</v>
      </c>
      <c r="L52" s="25" t="s">
        <v>95</v>
      </c>
      <c r="M52" s="37">
        <v>22493850</v>
      </c>
      <c r="N52" s="34">
        <f t="shared" ca="1" si="0"/>
        <v>155</v>
      </c>
      <c r="O52" s="34" t="str">
        <f t="shared" ca="1" si="1"/>
        <v>90+</v>
      </c>
      <c r="P52" s="35">
        <f t="shared" si="2"/>
        <v>3.6077976536816829E-4</v>
      </c>
      <c r="Q52" s="36">
        <f t="shared" si="3"/>
        <v>0.1</v>
      </c>
      <c r="R52" s="34" t="str">
        <f t="shared" si="4"/>
        <v>2M-5M</v>
      </c>
    </row>
    <row r="53" spans="4:18">
      <c r="D53" s="25" t="s">
        <v>223</v>
      </c>
      <c r="E53" s="25" t="s">
        <v>224</v>
      </c>
      <c r="F53" s="25" t="s">
        <v>225</v>
      </c>
      <c r="G53" s="26">
        <v>45818</v>
      </c>
      <c r="H53" s="26">
        <v>46085</v>
      </c>
      <c r="I53" s="37">
        <v>1972121</v>
      </c>
      <c r="J53" s="25" t="s">
        <v>52</v>
      </c>
      <c r="K53" s="25" t="s">
        <v>56</v>
      </c>
      <c r="L53" s="25" t="s">
        <v>121</v>
      </c>
      <c r="M53" s="37">
        <v>15776968</v>
      </c>
      <c r="N53" s="34">
        <f t="shared" ca="1" si="0"/>
        <v>0</v>
      </c>
      <c r="O53" s="34" t="str">
        <f t="shared" ca="1" si="1"/>
        <v>Current</v>
      </c>
      <c r="P53" s="35">
        <f t="shared" si="2"/>
        <v>3.1630928082904326E-4</v>
      </c>
      <c r="Q53" s="36">
        <f t="shared" si="3"/>
        <v>0.125</v>
      </c>
      <c r="R53" s="34" t="str">
        <f t="shared" si="4"/>
        <v>500K-2M</v>
      </c>
    </row>
    <row r="54" spans="4:18">
      <c r="D54" s="25" t="s">
        <v>226</v>
      </c>
      <c r="E54" s="25" t="s">
        <v>227</v>
      </c>
      <c r="F54" s="25" t="s">
        <v>228</v>
      </c>
      <c r="G54" s="26">
        <v>45966</v>
      </c>
      <c r="H54" s="26">
        <v>46009</v>
      </c>
      <c r="I54" s="37">
        <v>3645256</v>
      </c>
      <c r="J54" s="25" t="s">
        <v>52</v>
      </c>
      <c r="K54" s="25" t="s">
        <v>56</v>
      </c>
      <c r="L54" s="25" t="s">
        <v>114</v>
      </c>
      <c r="M54" s="37">
        <v>7290512</v>
      </c>
      <c r="N54" s="34">
        <f t="shared" ca="1" si="0"/>
        <v>74</v>
      </c>
      <c r="O54" s="34" t="str">
        <f t="shared" ca="1" si="1"/>
        <v>61-90</v>
      </c>
      <c r="P54" s="35">
        <f t="shared" si="2"/>
        <v>5.8466407679739465E-4</v>
      </c>
      <c r="Q54" s="36">
        <f t="shared" si="3"/>
        <v>0.5</v>
      </c>
      <c r="R54" s="34" t="str">
        <f t="shared" si="4"/>
        <v>2M-5M</v>
      </c>
    </row>
    <row r="55" spans="4:18">
      <c r="D55" s="25" t="s">
        <v>229</v>
      </c>
      <c r="E55" s="25" t="s">
        <v>230</v>
      </c>
      <c r="F55" s="25" t="s">
        <v>231</v>
      </c>
      <c r="G55" s="26">
        <v>45759</v>
      </c>
      <c r="H55" s="26">
        <v>45969</v>
      </c>
      <c r="I55" s="37">
        <v>3822642</v>
      </c>
      <c r="J55" s="25" t="s">
        <v>52</v>
      </c>
      <c r="K55" s="25" t="s">
        <v>94</v>
      </c>
      <c r="L55" s="25" t="s">
        <v>95</v>
      </c>
      <c r="M55" s="37">
        <v>7645284</v>
      </c>
      <c r="N55" s="34">
        <f t="shared" ca="1" si="0"/>
        <v>114</v>
      </c>
      <c r="O55" s="34" t="str">
        <f t="shared" ca="1" si="1"/>
        <v>90+</v>
      </c>
      <c r="P55" s="35">
        <f t="shared" si="2"/>
        <v>6.1311508872269782E-4</v>
      </c>
      <c r="Q55" s="36">
        <f t="shared" si="3"/>
        <v>0.5</v>
      </c>
      <c r="R55" s="34" t="str">
        <f t="shared" si="4"/>
        <v>2M-5M</v>
      </c>
    </row>
    <row r="56" spans="4:18">
      <c r="D56" s="25" t="s">
        <v>232</v>
      </c>
      <c r="E56" s="25" t="s">
        <v>233</v>
      </c>
      <c r="F56" s="25" t="s">
        <v>234</v>
      </c>
      <c r="G56" s="26">
        <v>46043</v>
      </c>
      <c r="H56" s="26">
        <v>46089</v>
      </c>
      <c r="I56" s="37">
        <v>7037834</v>
      </c>
      <c r="J56" s="25" t="s">
        <v>99</v>
      </c>
      <c r="K56" s="25" t="s">
        <v>94</v>
      </c>
      <c r="L56" s="25" t="s">
        <v>138</v>
      </c>
      <c r="M56" s="37">
        <v>70378340</v>
      </c>
      <c r="N56" s="34">
        <f t="shared" ca="1" si="0"/>
        <v>0</v>
      </c>
      <c r="O56" s="34" t="str">
        <f t="shared" ca="1" si="1"/>
        <v>Current</v>
      </c>
      <c r="P56" s="35">
        <f t="shared" si="2"/>
        <v>1.1288010274897882E-3</v>
      </c>
      <c r="Q56" s="36">
        <f t="shared" si="3"/>
        <v>0.1</v>
      </c>
      <c r="R56" s="34" t="str">
        <f t="shared" si="4"/>
        <v>&gt;5M</v>
      </c>
    </row>
    <row r="57" spans="4:18">
      <c r="D57" s="25" t="s">
        <v>100</v>
      </c>
      <c r="E57" s="25" t="s">
        <v>101</v>
      </c>
      <c r="F57" s="25" t="s">
        <v>235</v>
      </c>
      <c r="G57" s="26">
        <v>45829</v>
      </c>
      <c r="H57" s="26">
        <v>46095</v>
      </c>
      <c r="I57" s="37">
        <v>7763525</v>
      </c>
      <c r="J57" s="25" t="s">
        <v>99</v>
      </c>
      <c r="K57" s="25" t="s">
        <v>109</v>
      </c>
      <c r="L57" s="25" t="s">
        <v>114</v>
      </c>
      <c r="M57" s="37">
        <v>23290575</v>
      </c>
      <c r="N57" s="34">
        <f t="shared" ca="1" si="0"/>
        <v>0</v>
      </c>
      <c r="O57" s="34" t="str">
        <f t="shared" ca="1" si="1"/>
        <v>Current</v>
      </c>
      <c r="P57" s="35">
        <f t="shared" si="2"/>
        <v>1.2451948990190246E-3</v>
      </c>
      <c r="Q57" s="36">
        <f t="shared" si="3"/>
        <v>0.33333333333333331</v>
      </c>
      <c r="R57" s="34" t="str">
        <f t="shared" si="4"/>
        <v>&gt;5M</v>
      </c>
    </row>
    <row r="58" spans="4:18">
      <c r="D58" s="25" t="s">
        <v>122</v>
      </c>
      <c r="E58" s="25" t="s">
        <v>123</v>
      </c>
      <c r="F58" s="25" t="s">
        <v>236</v>
      </c>
      <c r="G58" s="26">
        <v>45832</v>
      </c>
      <c r="H58" s="26">
        <v>45968</v>
      </c>
      <c r="I58" s="37">
        <v>134262</v>
      </c>
      <c r="J58" s="25" t="s">
        <v>52</v>
      </c>
      <c r="K58" s="25" t="s">
        <v>134</v>
      </c>
      <c r="L58" s="25" t="s">
        <v>90</v>
      </c>
      <c r="M58" s="37">
        <v>268524</v>
      </c>
      <c r="N58" s="34">
        <f t="shared" ca="1" si="0"/>
        <v>115</v>
      </c>
      <c r="O58" s="34" t="str">
        <f t="shared" ca="1" si="1"/>
        <v>90+</v>
      </c>
      <c r="P58" s="35">
        <f t="shared" si="2"/>
        <v>2.1534336210946996E-5</v>
      </c>
      <c r="Q58" s="36">
        <f t="shared" si="3"/>
        <v>0.5</v>
      </c>
      <c r="R58" s="34" t="str">
        <f t="shared" si="4"/>
        <v>&lt;500K</v>
      </c>
    </row>
    <row r="59" spans="4:18">
      <c r="D59" s="25" t="s">
        <v>237</v>
      </c>
      <c r="E59" s="25" t="s">
        <v>238</v>
      </c>
      <c r="F59" s="25" t="s">
        <v>239</v>
      </c>
      <c r="G59" s="26">
        <v>45764</v>
      </c>
      <c r="H59" s="26">
        <v>46035</v>
      </c>
      <c r="I59" s="37">
        <v>863108</v>
      </c>
      <c r="J59" s="25" t="s">
        <v>52</v>
      </c>
      <c r="K59" s="25" t="s">
        <v>89</v>
      </c>
      <c r="L59" s="25" t="s">
        <v>95</v>
      </c>
      <c r="M59" s="37">
        <v>5178648</v>
      </c>
      <c r="N59" s="34">
        <f t="shared" ca="1" si="0"/>
        <v>48</v>
      </c>
      <c r="O59" s="34" t="str">
        <f t="shared" ca="1" si="1"/>
        <v>31-60</v>
      </c>
      <c r="P59" s="35">
        <f t="shared" si="2"/>
        <v>1.3843423945984745E-4</v>
      </c>
      <c r="Q59" s="36">
        <f t="shared" si="3"/>
        <v>0.16666666666666666</v>
      </c>
      <c r="R59" s="34" t="str">
        <f t="shared" si="4"/>
        <v>500K-2M</v>
      </c>
    </row>
    <row r="60" spans="4:18">
      <c r="D60" s="25" t="s">
        <v>240</v>
      </c>
      <c r="E60" s="25" t="s">
        <v>241</v>
      </c>
      <c r="F60" s="25" t="s">
        <v>242</v>
      </c>
      <c r="G60" s="26">
        <v>45775</v>
      </c>
      <c r="H60" s="26">
        <v>46079</v>
      </c>
      <c r="I60" s="37">
        <v>5532010</v>
      </c>
      <c r="J60" s="25" t="s">
        <v>52</v>
      </c>
      <c r="K60" s="25" t="s">
        <v>56</v>
      </c>
      <c r="L60" s="25" t="s">
        <v>138</v>
      </c>
      <c r="M60" s="37">
        <v>11064020</v>
      </c>
      <c r="N60" s="34">
        <f t="shared" ca="1" si="0"/>
        <v>4</v>
      </c>
      <c r="O60" s="34" t="str">
        <f t="shared" ca="1" si="1"/>
        <v>1-30</v>
      </c>
      <c r="P60" s="35">
        <f t="shared" si="2"/>
        <v>8.8728131014226589E-4</v>
      </c>
      <c r="Q60" s="36">
        <f t="shared" si="3"/>
        <v>0.5</v>
      </c>
      <c r="R60" s="34" t="str">
        <f t="shared" si="4"/>
        <v>&gt;5M</v>
      </c>
    </row>
    <row r="61" spans="4:18">
      <c r="D61" s="25" t="s">
        <v>129</v>
      </c>
      <c r="E61" s="25" t="s">
        <v>130</v>
      </c>
      <c r="F61" s="25" t="s">
        <v>243</v>
      </c>
      <c r="G61" s="26">
        <v>46039</v>
      </c>
      <c r="H61" s="26">
        <v>45982</v>
      </c>
      <c r="I61" s="37">
        <v>651602</v>
      </c>
      <c r="J61" s="25" t="s">
        <v>52</v>
      </c>
      <c r="K61" s="25" t="s">
        <v>125</v>
      </c>
      <c r="L61" s="25" t="s">
        <v>110</v>
      </c>
      <c r="M61" s="37">
        <v>1954806</v>
      </c>
      <c r="N61" s="34">
        <f t="shared" ca="1" si="0"/>
        <v>101</v>
      </c>
      <c r="O61" s="34" t="str">
        <f t="shared" ca="1" si="1"/>
        <v>90+</v>
      </c>
      <c r="P61" s="35">
        <f t="shared" si="2"/>
        <v>1.0451070700366064E-4</v>
      </c>
      <c r="Q61" s="36">
        <f t="shared" si="3"/>
        <v>0.33333333333333331</v>
      </c>
      <c r="R61" s="34" t="str">
        <f t="shared" si="4"/>
        <v>500K-2M</v>
      </c>
    </row>
    <row r="62" spans="4:18">
      <c r="D62" s="25" t="s">
        <v>244</v>
      </c>
      <c r="E62" s="25" t="s">
        <v>245</v>
      </c>
      <c r="F62" s="25" t="s">
        <v>246</v>
      </c>
      <c r="G62" s="26">
        <v>45716</v>
      </c>
      <c r="H62" s="26">
        <v>46063</v>
      </c>
      <c r="I62" s="37">
        <v>1621944</v>
      </c>
      <c r="J62" s="25" t="s">
        <v>52</v>
      </c>
      <c r="K62" s="25" t="s">
        <v>125</v>
      </c>
      <c r="L62" s="25" t="s">
        <v>121</v>
      </c>
      <c r="M62" s="37">
        <v>6487776</v>
      </c>
      <c r="N62" s="34">
        <f t="shared" ca="1" si="0"/>
        <v>20</v>
      </c>
      <c r="O62" s="34" t="str">
        <f t="shared" ca="1" si="1"/>
        <v>1-30</v>
      </c>
      <c r="P62" s="35">
        <f t="shared" si="2"/>
        <v>2.6014425087759915E-4</v>
      </c>
      <c r="Q62" s="36">
        <f t="shared" si="3"/>
        <v>0.25</v>
      </c>
      <c r="R62" s="34" t="str">
        <f t="shared" si="4"/>
        <v>500K-2M</v>
      </c>
    </row>
    <row r="63" spans="4:18">
      <c r="D63" s="25" t="s">
        <v>106</v>
      </c>
      <c r="E63" s="25" t="s">
        <v>107</v>
      </c>
      <c r="F63" s="25" t="s">
        <v>247</v>
      </c>
      <c r="G63" s="26">
        <v>45905</v>
      </c>
      <c r="H63" s="26">
        <v>45970</v>
      </c>
      <c r="I63" s="37">
        <v>4697449</v>
      </c>
      <c r="J63" s="25" t="s">
        <v>99</v>
      </c>
      <c r="K63" s="25" t="s">
        <v>56</v>
      </c>
      <c r="L63" s="25" t="s">
        <v>110</v>
      </c>
      <c r="M63" s="37">
        <v>9394898</v>
      </c>
      <c r="N63" s="34">
        <f t="shared" ca="1" si="0"/>
        <v>113</v>
      </c>
      <c r="O63" s="34" t="str">
        <f t="shared" ca="1" si="1"/>
        <v>90+</v>
      </c>
      <c r="P63" s="35">
        <f t="shared" si="2"/>
        <v>7.5342573550056427E-4</v>
      </c>
      <c r="Q63" s="36">
        <f t="shared" si="3"/>
        <v>0.5</v>
      </c>
      <c r="R63" s="34" t="str">
        <f t="shared" si="4"/>
        <v>2M-5M</v>
      </c>
    </row>
    <row r="64" spans="4:18">
      <c r="D64" s="25" t="s">
        <v>248</v>
      </c>
      <c r="E64" s="25" t="s">
        <v>249</v>
      </c>
      <c r="F64" s="25" t="s">
        <v>250</v>
      </c>
      <c r="G64" s="26">
        <v>46030</v>
      </c>
      <c r="H64" s="26">
        <v>45922</v>
      </c>
      <c r="I64" s="37">
        <v>853185</v>
      </c>
      <c r="J64" s="25" t="s">
        <v>52</v>
      </c>
      <c r="K64" s="25" t="s">
        <v>89</v>
      </c>
      <c r="L64" s="25" t="s">
        <v>138</v>
      </c>
      <c r="M64" s="37">
        <v>6825480</v>
      </c>
      <c r="N64" s="34">
        <f t="shared" ca="1" si="0"/>
        <v>161</v>
      </c>
      <c r="O64" s="34" t="str">
        <f t="shared" ca="1" si="1"/>
        <v>90+</v>
      </c>
      <c r="P64" s="35">
        <f t="shared" si="2"/>
        <v>1.3684268549654267E-4</v>
      </c>
      <c r="Q64" s="36">
        <f t="shared" si="3"/>
        <v>0.125</v>
      </c>
      <c r="R64" s="34" t="str">
        <f t="shared" si="4"/>
        <v>500K-2M</v>
      </c>
    </row>
    <row r="65" spans="4:18">
      <c r="D65" s="25" t="s">
        <v>135</v>
      </c>
      <c r="E65" s="25" t="s">
        <v>136</v>
      </c>
      <c r="F65" s="25" t="s">
        <v>251</v>
      </c>
      <c r="G65" s="26">
        <v>45795</v>
      </c>
      <c r="H65" s="26">
        <v>46041</v>
      </c>
      <c r="I65" s="37">
        <v>4620015</v>
      </c>
      <c r="J65" s="25" t="s">
        <v>52</v>
      </c>
      <c r="K65" s="25" t="s">
        <v>125</v>
      </c>
      <c r="L65" s="25" t="s">
        <v>95</v>
      </c>
      <c r="M65" s="37">
        <v>9240030</v>
      </c>
      <c r="N65" s="34">
        <f t="shared" ca="1" si="0"/>
        <v>42</v>
      </c>
      <c r="O65" s="34" t="str">
        <f t="shared" ca="1" si="1"/>
        <v>31-60</v>
      </c>
      <c r="P65" s="35">
        <f t="shared" si="2"/>
        <v>7.4100606507886287E-4</v>
      </c>
      <c r="Q65" s="36">
        <f t="shared" si="3"/>
        <v>0.5</v>
      </c>
      <c r="R65" s="34" t="str">
        <f t="shared" si="4"/>
        <v>2M-5M</v>
      </c>
    </row>
    <row r="66" spans="4:18">
      <c r="D66" s="25" t="s">
        <v>252</v>
      </c>
      <c r="E66" s="25" t="s">
        <v>253</v>
      </c>
      <c r="F66" s="25" t="s">
        <v>254</v>
      </c>
      <c r="G66" s="26">
        <v>46032</v>
      </c>
      <c r="H66" s="26">
        <v>46069</v>
      </c>
      <c r="I66" s="37">
        <v>2086482</v>
      </c>
      <c r="J66" s="25" t="s">
        <v>52</v>
      </c>
      <c r="K66" s="25" t="s">
        <v>109</v>
      </c>
      <c r="L66" s="25" t="s">
        <v>114</v>
      </c>
      <c r="M66" s="37">
        <v>14605374</v>
      </c>
      <c r="N66" s="34">
        <f t="shared" ca="1" si="0"/>
        <v>14</v>
      </c>
      <c r="O66" s="34" t="str">
        <f t="shared" ca="1" si="1"/>
        <v>1-30</v>
      </c>
      <c r="P66" s="35">
        <f t="shared" si="2"/>
        <v>3.3465168764124705E-4</v>
      </c>
      <c r="Q66" s="36">
        <f t="shared" si="3"/>
        <v>0.14285714285714285</v>
      </c>
      <c r="R66" s="34" t="str">
        <f t="shared" si="4"/>
        <v>2M-5M</v>
      </c>
    </row>
    <row r="67" spans="4:18">
      <c r="D67" s="25" t="s">
        <v>255</v>
      </c>
      <c r="E67" s="25" t="s">
        <v>256</v>
      </c>
      <c r="F67" s="25" t="s">
        <v>257</v>
      </c>
      <c r="G67" s="26">
        <v>45806</v>
      </c>
      <c r="H67" s="26">
        <v>45963</v>
      </c>
      <c r="I67" s="37">
        <v>247822</v>
      </c>
      <c r="J67" s="25" t="s">
        <v>99</v>
      </c>
      <c r="K67" s="25" t="s">
        <v>125</v>
      </c>
      <c r="L67" s="25" t="s">
        <v>121</v>
      </c>
      <c r="M67" s="37">
        <v>991288</v>
      </c>
      <c r="N67" s="34">
        <f t="shared" ca="1" si="0"/>
        <v>120</v>
      </c>
      <c r="O67" s="34" t="str">
        <f t="shared" ca="1" si="1"/>
        <v>90+</v>
      </c>
      <c r="P67" s="35">
        <f t="shared" si="2"/>
        <v>3.9748270310805043E-5</v>
      </c>
      <c r="Q67" s="36">
        <f t="shared" si="3"/>
        <v>0.25</v>
      </c>
      <c r="R67" s="34" t="str">
        <f t="shared" si="4"/>
        <v>&lt;500K</v>
      </c>
    </row>
    <row r="68" spans="4:18">
      <c r="D68" s="25" t="s">
        <v>258</v>
      </c>
      <c r="E68" s="25" t="s">
        <v>259</v>
      </c>
      <c r="F68" s="25" t="s">
        <v>260</v>
      </c>
      <c r="G68" s="26">
        <v>45911</v>
      </c>
      <c r="H68" s="26">
        <v>45961</v>
      </c>
      <c r="I68" s="37">
        <v>5606097</v>
      </c>
      <c r="J68" s="25" t="s">
        <v>52</v>
      </c>
      <c r="K68" s="25" t="s">
        <v>125</v>
      </c>
      <c r="L68" s="25" t="s">
        <v>138</v>
      </c>
      <c r="M68" s="37">
        <v>16818291</v>
      </c>
      <c r="N68" s="34">
        <f t="shared" ca="1" si="0"/>
        <v>122</v>
      </c>
      <c r="O68" s="34" t="str">
        <f t="shared" ca="1" si="1"/>
        <v>90+</v>
      </c>
      <c r="P68" s="35">
        <f t="shared" si="2"/>
        <v>8.9916415388703673E-4</v>
      </c>
      <c r="Q68" s="36">
        <f t="shared" si="3"/>
        <v>0.33333333333333331</v>
      </c>
      <c r="R68" s="34" t="str">
        <f t="shared" si="4"/>
        <v>&gt;5M</v>
      </c>
    </row>
    <row r="69" spans="4:18">
      <c r="D69" s="25" t="s">
        <v>261</v>
      </c>
      <c r="E69" s="25" t="s">
        <v>262</v>
      </c>
      <c r="F69" s="25" t="s">
        <v>263</v>
      </c>
      <c r="G69" s="26">
        <v>45751</v>
      </c>
      <c r="H69" s="26">
        <v>46031</v>
      </c>
      <c r="I69" s="37">
        <v>6980089</v>
      </c>
      <c r="J69" s="25" t="s">
        <v>52</v>
      </c>
      <c r="K69" s="25" t="s">
        <v>134</v>
      </c>
      <c r="L69" s="25" t="s">
        <v>110</v>
      </c>
      <c r="M69" s="37">
        <v>13960178</v>
      </c>
      <c r="N69" s="34">
        <f t="shared" ca="1" si="0"/>
        <v>52</v>
      </c>
      <c r="O69" s="34" t="str">
        <f t="shared" ca="1" si="1"/>
        <v>31-60</v>
      </c>
      <c r="P69" s="35">
        <f t="shared" si="2"/>
        <v>1.1195392837015151E-3</v>
      </c>
      <c r="Q69" s="36">
        <f t="shared" si="3"/>
        <v>0.5</v>
      </c>
      <c r="R69" s="34" t="str">
        <f t="shared" si="4"/>
        <v>&gt;5M</v>
      </c>
    </row>
    <row r="70" spans="4:18">
      <c r="D70" s="25" t="s">
        <v>264</v>
      </c>
      <c r="E70" s="25" t="s">
        <v>265</v>
      </c>
      <c r="F70" s="25" t="s">
        <v>266</v>
      </c>
      <c r="G70" s="26">
        <v>45904</v>
      </c>
      <c r="H70" s="26">
        <v>45924</v>
      </c>
      <c r="I70" s="37">
        <v>6334571</v>
      </c>
      <c r="J70" s="25" t="s">
        <v>52</v>
      </c>
      <c r="K70" s="25" t="s">
        <v>109</v>
      </c>
      <c r="L70" s="25" t="s">
        <v>138</v>
      </c>
      <c r="M70" s="37">
        <v>31672855</v>
      </c>
      <c r="N70" s="34">
        <f t="shared" ca="1" si="0"/>
        <v>159</v>
      </c>
      <c r="O70" s="34" t="str">
        <f t="shared" ca="1" si="1"/>
        <v>90+</v>
      </c>
      <c r="P70" s="35">
        <f t="shared" si="2"/>
        <v>1.0160043919062336E-3</v>
      </c>
      <c r="Q70" s="36">
        <f t="shared" si="3"/>
        <v>0.2</v>
      </c>
      <c r="R70" s="34" t="str">
        <f t="shared" si="4"/>
        <v>&gt;5M</v>
      </c>
    </row>
    <row r="71" spans="4:18">
      <c r="D71" s="25" t="s">
        <v>267</v>
      </c>
      <c r="E71" s="25" t="s">
        <v>268</v>
      </c>
      <c r="F71" s="25" t="s">
        <v>269</v>
      </c>
      <c r="G71" s="26">
        <v>46051</v>
      </c>
      <c r="H71" s="26">
        <v>45935</v>
      </c>
      <c r="I71" s="37">
        <v>6400107</v>
      </c>
      <c r="J71" s="25" t="s">
        <v>99</v>
      </c>
      <c r="K71" s="25" t="s">
        <v>89</v>
      </c>
      <c r="L71" s="25" t="s">
        <v>121</v>
      </c>
      <c r="M71" s="37">
        <v>51200856</v>
      </c>
      <c r="N71" s="34">
        <f t="shared" ca="1" si="0"/>
        <v>148</v>
      </c>
      <c r="O71" s="34" t="str">
        <f t="shared" ca="1" si="1"/>
        <v>90+</v>
      </c>
      <c r="P71" s="35">
        <f t="shared" si="2"/>
        <v>1.0265157373198326E-3</v>
      </c>
      <c r="Q71" s="36">
        <f t="shared" si="3"/>
        <v>0.125</v>
      </c>
      <c r="R71" s="34" t="str">
        <f t="shared" si="4"/>
        <v>&gt;5M</v>
      </c>
    </row>
    <row r="72" spans="4:18">
      <c r="D72" s="25" t="s">
        <v>270</v>
      </c>
      <c r="E72" s="25" t="s">
        <v>271</v>
      </c>
      <c r="F72" s="25" t="s">
        <v>272</v>
      </c>
      <c r="G72" s="26">
        <v>46005</v>
      </c>
      <c r="H72" s="26">
        <v>46067</v>
      </c>
      <c r="I72" s="37">
        <v>6405409</v>
      </c>
      <c r="J72" s="25" t="s">
        <v>52</v>
      </c>
      <c r="K72" s="25" t="s">
        <v>89</v>
      </c>
      <c r="L72" s="25" t="s">
        <v>121</v>
      </c>
      <c r="M72" s="37">
        <v>64054090</v>
      </c>
      <c r="N72" s="34">
        <f t="shared" ref="N72:N135" ca="1" si="5">MAX(0,TODAY()-H72)</f>
        <v>16</v>
      </c>
      <c r="O72" s="34" t="str">
        <f t="shared" ref="O72:O135" ca="1" si="6">IF(N72&lt;=0,"Current",
IF(N72&lt;=30,"1-30",
IF(N72&lt;=60,"31-60",
IF(N72&lt;=90,"61-90","90+"))))</f>
        <v>1-30</v>
      </c>
      <c r="P72" s="35">
        <f t="shared" ref="P72:P135" si="7">I72/SUM($I$7:$I$438)</f>
        <v>1.027366127233512E-3</v>
      </c>
      <c r="Q72" s="36">
        <f t="shared" ref="Q72:Q135" si="8">I72/M72</f>
        <v>0.1</v>
      </c>
      <c r="R72" s="34" t="str">
        <f t="shared" ref="R72:R135" si="9">IF(I72&lt;500000,"&lt;500K",
IF(I72&lt;2000000,"500K-2M",
IF(I72&lt;5000000,"2M-5M","&gt;5M")))</f>
        <v>&gt;5M</v>
      </c>
    </row>
    <row r="73" spans="4:18">
      <c r="D73" s="25" t="s">
        <v>273</v>
      </c>
      <c r="E73" s="25" t="s">
        <v>274</v>
      </c>
      <c r="F73" s="25" t="s">
        <v>275</v>
      </c>
      <c r="G73" s="26">
        <v>45985</v>
      </c>
      <c r="H73" s="26">
        <v>45978</v>
      </c>
      <c r="I73" s="37">
        <v>598578</v>
      </c>
      <c r="J73" s="25" t="s">
        <v>99</v>
      </c>
      <c r="K73" s="25" t="s">
        <v>125</v>
      </c>
      <c r="L73" s="25" t="s">
        <v>110</v>
      </c>
      <c r="M73" s="37">
        <v>3591468</v>
      </c>
      <c r="N73" s="34">
        <f t="shared" ca="1" si="5"/>
        <v>105</v>
      </c>
      <c r="O73" s="34" t="str">
        <f t="shared" ca="1" si="6"/>
        <v>90+</v>
      </c>
      <c r="P73" s="35">
        <f t="shared" si="7"/>
        <v>9.6006166305255634E-5</v>
      </c>
      <c r="Q73" s="36">
        <f t="shared" si="8"/>
        <v>0.16666666666666666</v>
      </c>
      <c r="R73" s="34" t="str">
        <f t="shared" si="9"/>
        <v>500K-2M</v>
      </c>
    </row>
    <row r="74" spans="4:18">
      <c r="D74" s="25" t="s">
        <v>276</v>
      </c>
      <c r="E74" s="25" t="s">
        <v>277</v>
      </c>
      <c r="F74" s="25" t="s">
        <v>278</v>
      </c>
      <c r="G74" s="26">
        <v>45740</v>
      </c>
      <c r="H74" s="26">
        <v>46084</v>
      </c>
      <c r="I74" s="37">
        <v>7455106</v>
      </c>
      <c r="J74" s="25" t="s">
        <v>99</v>
      </c>
      <c r="K74" s="25" t="s">
        <v>125</v>
      </c>
      <c r="L74" s="25" t="s">
        <v>110</v>
      </c>
      <c r="M74" s="37">
        <v>14910212</v>
      </c>
      <c r="N74" s="34">
        <f t="shared" ca="1" si="5"/>
        <v>0</v>
      </c>
      <c r="O74" s="34" t="str">
        <f t="shared" ca="1" si="6"/>
        <v>Current</v>
      </c>
      <c r="P74" s="35">
        <f t="shared" si="7"/>
        <v>1.1957274514922183E-3</v>
      </c>
      <c r="Q74" s="36">
        <f t="shared" si="8"/>
        <v>0.5</v>
      </c>
      <c r="R74" s="34" t="str">
        <f t="shared" si="9"/>
        <v>&gt;5M</v>
      </c>
    </row>
    <row r="75" spans="4:18">
      <c r="D75" s="25" t="s">
        <v>279</v>
      </c>
      <c r="E75" s="25" t="s">
        <v>280</v>
      </c>
      <c r="F75" s="25" t="s">
        <v>281</v>
      </c>
      <c r="G75" s="26">
        <v>45853</v>
      </c>
      <c r="H75" s="26">
        <v>45927</v>
      </c>
      <c r="I75" s="37">
        <v>1784275</v>
      </c>
      <c r="J75" s="25" t="s">
        <v>52</v>
      </c>
      <c r="K75" s="25" t="s">
        <v>56</v>
      </c>
      <c r="L75" s="25" t="s">
        <v>95</v>
      </c>
      <c r="M75" s="37">
        <v>5352825</v>
      </c>
      <c r="N75" s="34">
        <f t="shared" ca="1" si="5"/>
        <v>156</v>
      </c>
      <c r="O75" s="34" t="str">
        <f t="shared" ca="1" si="6"/>
        <v>90+</v>
      </c>
      <c r="P75" s="35">
        <f t="shared" si="7"/>
        <v>2.8618058529433088E-4</v>
      </c>
      <c r="Q75" s="36">
        <f t="shared" si="8"/>
        <v>0.33333333333333331</v>
      </c>
      <c r="R75" s="34" t="str">
        <f t="shared" si="9"/>
        <v>500K-2M</v>
      </c>
    </row>
    <row r="76" spans="4:18">
      <c r="D76" s="25" t="s">
        <v>122</v>
      </c>
      <c r="E76" s="25" t="s">
        <v>123</v>
      </c>
      <c r="F76" s="25" t="s">
        <v>282</v>
      </c>
      <c r="G76" s="26">
        <v>45992</v>
      </c>
      <c r="H76" s="26">
        <v>45948</v>
      </c>
      <c r="I76" s="37">
        <v>3277773</v>
      </c>
      <c r="J76" s="25" t="s">
        <v>52</v>
      </c>
      <c r="K76" s="25" t="s">
        <v>89</v>
      </c>
      <c r="L76" s="25" t="s">
        <v>121</v>
      </c>
      <c r="M76" s="37">
        <v>13111092</v>
      </c>
      <c r="N76" s="34">
        <f t="shared" ca="1" si="5"/>
        <v>135</v>
      </c>
      <c r="O76" s="34" t="str">
        <f t="shared" ca="1" si="6"/>
        <v>90+</v>
      </c>
      <c r="P76" s="35">
        <f t="shared" si="7"/>
        <v>5.2572333054151112E-4</v>
      </c>
      <c r="Q76" s="36">
        <f t="shared" si="8"/>
        <v>0.25</v>
      </c>
      <c r="R76" s="34" t="str">
        <f t="shared" si="9"/>
        <v>2M-5M</v>
      </c>
    </row>
    <row r="77" spans="4:18">
      <c r="D77" s="25" t="s">
        <v>283</v>
      </c>
      <c r="E77" s="25" t="s">
        <v>284</v>
      </c>
      <c r="F77" s="25" t="s">
        <v>285</v>
      </c>
      <c r="G77" s="26">
        <v>45818</v>
      </c>
      <c r="H77" s="26">
        <v>46089</v>
      </c>
      <c r="I77" s="37">
        <v>6078909</v>
      </c>
      <c r="J77" s="25" t="s">
        <v>52</v>
      </c>
      <c r="K77" s="25" t="s">
        <v>56</v>
      </c>
      <c r="L77" s="25" t="s">
        <v>121</v>
      </c>
      <c r="M77" s="37">
        <v>42552363</v>
      </c>
      <c r="N77" s="34">
        <f t="shared" ca="1" si="5"/>
        <v>0</v>
      </c>
      <c r="O77" s="34" t="str">
        <f t="shared" ca="1" si="6"/>
        <v>Current</v>
      </c>
      <c r="P77" s="35">
        <f t="shared" si="7"/>
        <v>9.7499866084038375E-4</v>
      </c>
      <c r="Q77" s="36">
        <f t="shared" si="8"/>
        <v>0.14285714285714285</v>
      </c>
      <c r="R77" s="34" t="str">
        <f t="shared" si="9"/>
        <v>&gt;5M</v>
      </c>
    </row>
    <row r="78" spans="4:18">
      <c r="D78" s="25" t="s">
        <v>171</v>
      </c>
      <c r="E78" s="25" t="s">
        <v>172</v>
      </c>
      <c r="F78" s="25" t="s">
        <v>286</v>
      </c>
      <c r="G78" s="26">
        <v>45800</v>
      </c>
      <c r="H78" s="26">
        <v>46085</v>
      </c>
      <c r="I78" s="37">
        <v>6436756</v>
      </c>
      <c r="J78" s="25" t="s">
        <v>52</v>
      </c>
      <c r="K78" s="25" t="s">
        <v>94</v>
      </c>
      <c r="L78" s="25" t="s">
        <v>121</v>
      </c>
      <c r="M78" s="37">
        <v>12873512</v>
      </c>
      <c r="N78" s="34">
        <f t="shared" ca="1" si="5"/>
        <v>0</v>
      </c>
      <c r="O78" s="34" t="str">
        <f t="shared" ca="1" si="6"/>
        <v>Current</v>
      </c>
      <c r="P78" s="35">
        <f t="shared" si="7"/>
        <v>1.0323938851784595E-3</v>
      </c>
      <c r="Q78" s="36">
        <f t="shared" si="8"/>
        <v>0.5</v>
      </c>
      <c r="R78" s="34" t="str">
        <f t="shared" si="9"/>
        <v>&gt;5M</v>
      </c>
    </row>
    <row r="79" spans="4:18">
      <c r="D79" s="25" t="s">
        <v>287</v>
      </c>
      <c r="E79" s="25" t="s">
        <v>288</v>
      </c>
      <c r="F79" s="25" t="s">
        <v>289</v>
      </c>
      <c r="G79" s="26">
        <v>45781</v>
      </c>
      <c r="H79" s="26">
        <v>45995</v>
      </c>
      <c r="I79" s="37">
        <v>5725597</v>
      </c>
      <c r="J79" s="25" t="s">
        <v>52</v>
      </c>
      <c r="K79" s="25" t="s">
        <v>56</v>
      </c>
      <c r="L79" s="25" t="s">
        <v>95</v>
      </c>
      <c r="M79" s="37">
        <v>17176791</v>
      </c>
      <c r="N79" s="34">
        <f t="shared" ca="1" si="5"/>
        <v>88</v>
      </c>
      <c r="O79" s="34" t="str">
        <f t="shared" ca="1" si="6"/>
        <v>61-90</v>
      </c>
      <c r="P79" s="35">
        <f t="shared" si="7"/>
        <v>9.1833080697732413E-4</v>
      </c>
      <c r="Q79" s="36">
        <f t="shared" si="8"/>
        <v>0.33333333333333331</v>
      </c>
      <c r="R79" s="34" t="str">
        <f t="shared" si="9"/>
        <v>&gt;5M</v>
      </c>
    </row>
    <row r="80" spans="4:18">
      <c r="D80" s="25" t="s">
        <v>290</v>
      </c>
      <c r="E80" s="25" t="s">
        <v>291</v>
      </c>
      <c r="F80" s="25" t="s">
        <v>292</v>
      </c>
      <c r="G80" s="26">
        <v>45947</v>
      </c>
      <c r="H80" s="26">
        <v>45923</v>
      </c>
      <c r="I80" s="37">
        <v>5005012</v>
      </c>
      <c r="J80" s="25" t="s">
        <v>52</v>
      </c>
      <c r="K80" s="25" t="s">
        <v>89</v>
      </c>
      <c r="L80" s="25" t="s">
        <v>95</v>
      </c>
      <c r="M80" s="37">
        <v>30030072</v>
      </c>
      <c r="N80" s="34">
        <f t="shared" ca="1" si="5"/>
        <v>160</v>
      </c>
      <c r="O80" s="34" t="str">
        <f t="shared" ca="1" si="6"/>
        <v>90+</v>
      </c>
      <c r="P80" s="35">
        <f t="shared" si="7"/>
        <v>8.0275588884289116E-4</v>
      </c>
      <c r="Q80" s="36">
        <f t="shared" si="8"/>
        <v>0.16666666666666666</v>
      </c>
      <c r="R80" s="34" t="str">
        <f t="shared" si="9"/>
        <v>&gt;5M</v>
      </c>
    </row>
    <row r="81" spans="4:18">
      <c r="D81" s="25" t="s">
        <v>293</v>
      </c>
      <c r="E81" s="25" t="s">
        <v>294</v>
      </c>
      <c r="F81" s="25" t="s">
        <v>295</v>
      </c>
      <c r="G81" s="26">
        <v>45931</v>
      </c>
      <c r="H81" s="26">
        <v>45948</v>
      </c>
      <c r="I81" s="37">
        <v>1478977</v>
      </c>
      <c r="J81" s="25" t="s">
        <v>52</v>
      </c>
      <c r="K81" s="25" t="s">
        <v>89</v>
      </c>
      <c r="L81" s="25" t="s">
        <v>95</v>
      </c>
      <c r="M81" s="37">
        <v>10352839</v>
      </c>
      <c r="N81" s="34">
        <f t="shared" ca="1" si="5"/>
        <v>135</v>
      </c>
      <c r="O81" s="34" t="str">
        <f t="shared" ca="1" si="6"/>
        <v>90+</v>
      </c>
      <c r="P81" s="35">
        <f t="shared" si="7"/>
        <v>2.372137162135061E-4</v>
      </c>
      <c r="Q81" s="36">
        <f t="shared" si="8"/>
        <v>0.14285714285714285</v>
      </c>
      <c r="R81" s="34" t="str">
        <f t="shared" si="9"/>
        <v>500K-2M</v>
      </c>
    </row>
    <row r="82" spans="4:18">
      <c r="D82" s="25" t="s">
        <v>296</v>
      </c>
      <c r="E82" s="25" t="s">
        <v>297</v>
      </c>
      <c r="F82" s="25" t="s">
        <v>298</v>
      </c>
      <c r="G82" s="26">
        <v>45789</v>
      </c>
      <c r="H82" s="26">
        <v>46089</v>
      </c>
      <c r="I82" s="37">
        <v>6934389</v>
      </c>
      <c r="J82" s="25" t="s">
        <v>99</v>
      </c>
      <c r="K82" s="25" t="s">
        <v>134</v>
      </c>
      <c r="L82" s="25" t="s">
        <v>138</v>
      </c>
      <c r="M82" s="37">
        <v>13868778</v>
      </c>
      <c r="N82" s="34">
        <f t="shared" ca="1" si="5"/>
        <v>0</v>
      </c>
      <c r="O82" s="34" t="str">
        <f t="shared" ca="1" si="6"/>
        <v>Current</v>
      </c>
      <c r="P82" s="35">
        <f t="shared" si="7"/>
        <v>1.1122094423105014E-3</v>
      </c>
      <c r="Q82" s="36">
        <f t="shared" si="8"/>
        <v>0.5</v>
      </c>
      <c r="R82" s="34" t="str">
        <f t="shared" si="9"/>
        <v>&gt;5M</v>
      </c>
    </row>
    <row r="83" spans="4:18">
      <c r="D83" s="25" t="s">
        <v>86</v>
      </c>
      <c r="E83" s="25" t="s">
        <v>87</v>
      </c>
      <c r="F83" s="25" t="s">
        <v>299</v>
      </c>
      <c r="G83" s="26">
        <v>45835</v>
      </c>
      <c r="H83" s="26">
        <v>46001</v>
      </c>
      <c r="I83" s="37">
        <v>2279060</v>
      </c>
      <c r="J83" s="25" t="s">
        <v>99</v>
      </c>
      <c r="K83" s="25" t="s">
        <v>94</v>
      </c>
      <c r="L83" s="25" t="s">
        <v>121</v>
      </c>
      <c r="M83" s="37">
        <v>4558120</v>
      </c>
      <c r="N83" s="34">
        <f t="shared" ca="1" si="5"/>
        <v>82</v>
      </c>
      <c r="O83" s="34" t="str">
        <f t="shared" ca="1" si="6"/>
        <v>61-90</v>
      </c>
      <c r="P83" s="35">
        <f t="shared" si="7"/>
        <v>3.6553935056025429E-4</v>
      </c>
      <c r="Q83" s="36">
        <f t="shared" si="8"/>
        <v>0.5</v>
      </c>
      <c r="R83" s="34" t="str">
        <f t="shared" si="9"/>
        <v>2M-5M</v>
      </c>
    </row>
    <row r="84" spans="4:18">
      <c r="D84" s="25" t="s">
        <v>300</v>
      </c>
      <c r="E84" s="25" t="s">
        <v>301</v>
      </c>
      <c r="F84" s="25" t="s">
        <v>302</v>
      </c>
      <c r="G84" s="26">
        <v>46027</v>
      </c>
      <c r="H84" s="26">
        <v>46057</v>
      </c>
      <c r="I84" s="37">
        <v>700267</v>
      </c>
      <c r="J84" s="25" t="s">
        <v>52</v>
      </c>
      <c r="K84" s="25" t="s">
        <v>125</v>
      </c>
      <c r="L84" s="25" t="s">
        <v>90</v>
      </c>
      <c r="M84" s="37">
        <v>1400534</v>
      </c>
      <c r="N84" s="34">
        <f t="shared" ca="1" si="5"/>
        <v>26</v>
      </c>
      <c r="O84" s="34" t="str">
        <f t="shared" ca="1" si="6"/>
        <v>1-30</v>
      </c>
      <c r="P84" s="35">
        <f t="shared" si="7"/>
        <v>1.1231610593787684E-4</v>
      </c>
      <c r="Q84" s="36">
        <f t="shared" si="8"/>
        <v>0.5</v>
      </c>
      <c r="R84" s="34" t="str">
        <f t="shared" si="9"/>
        <v>500K-2M</v>
      </c>
    </row>
    <row r="85" spans="4:18">
      <c r="D85" s="25" t="s">
        <v>303</v>
      </c>
      <c r="E85" s="25" t="s">
        <v>304</v>
      </c>
      <c r="F85" s="25" t="s">
        <v>305</v>
      </c>
      <c r="G85" s="26">
        <v>45912</v>
      </c>
      <c r="H85" s="26">
        <v>46065</v>
      </c>
      <c r="I85" s="37">
        <v>755804</v>
      </c>
      <c r="J85" s="25" t="s">
        <v>52</v>
      </c>
      <c r="K85" s="25" t="s">
        <v>89</v>
      </c>
      <c r="L85" s="25" t="s">
        <v>110</v>
      </c>
      <c r="M85" s="37">
        <v>4534824</v>
      </c>
      <c r="N85" s="34">
        <f t="shared" ca="1" si="5"/>
        <v>18</v>
      </c>
      <c r="O85" s="34" t="str">
        <f t="shared" ca="1" si="6"/>
        <v>1-30</v>
      </c>
      <c r="P85" s="35">
        <f t="shared" si="7"/>
        <v>1.2122370771758639E-4</v>
      </c>
      <c r="Q85" s="36">
        <f t="shared" si="8"/>
        <v>0.16666666666666666</v>
      </c>
      <c r="R85" s="34" t="str">
        <f t="shared" si="9"/>
        <v>500K-2M</v>
      </c>
    </row>
    <row r="86" spans="4:18">
      <c r="D86" s="25" t="s">
        <v>306</v>
      </c>
      <c r="E86" s="25" t="s">
        <v>307</v>
      </c>
      <c r="F86" s="25" t="s">
        <v>308</v>
      </c>
      <c r="G86" s="26">
        <v>45928</v>
      </c>
      <c r="H86" s="26">
        <v>45987</v>
      </c>
      <c r="I86" s="37">
        <v>6602382</v>
      </c>
      <c r="J86" s="25" t="s">
        <v>99</v>
      </c>
      <c r="K86" s="25" t="s">
        <v>56</v>
      </c>
      <c r="L86" s="25" t="s">
        <v>95</v>
      </c>
      <c r="M86" s="37">
        <v>52819056</v>
      </c>
      <c r="N86" s="34">
        <f t="shared" ca="1" si="5"/>
        <v>96</v>
      </c>
      <c r="O86" s="34" t="str">
        <f t="shared" ca="1" si="6"/>
        <v>90+</v>
      </c>
      <c r="P86" s="35">
        <f t="shared" si="7"/>
        <v>1.0589587059711956E-3</v>
      </c>
      <c r="Q86" s="36">
        <f t="shared" si="8"/>
        <v>0.125</v>
      </c>
      <c r="R86" s="34" t="str">
        <f t="shared" si="9"/>
        <v>&gt;5M</v>
      </c>
    </row>
    <row r="87" spans="4:18">
      <c r="D87" s="25" t="s">
        <v>309</v>
      </c>
      <c r="E87" s="25" t="s">
        <v>310</v>
      </c>
      <c r="F87" s="25" t="s">
        <v>311</v>
      </c>
      <c r="G87" s="26">
        <v>45746</v>
      </c>
      <c r="H87" s="26">
        <v>46100</v>
      </c>
      <c r="I87" s="37">
        <v>7682532</v>
      </c>
      <c r="J87" s="25" t="s">
        <v>52</v>
      </c>
      <c r="K87" s="25" t="s">
        <v>56</v>
      </c>
      <c r="L87" s="25" t="s">
        <v>114</v>
      </c>
      <c r="M87" s="37">
        <v>38412660</v>
      </c>
      <c r="N87" s="34">
        <f t="shared" ca="1" si="5"/>
        <v>0</v>
      </c>
      <c r="O87" s="34" t="str">
        <f t="shared" ca="1" si="6"/>
        <v>Current</v>
      </c>
      <c r="P87" s="35">
        <f t="shared" si="7"/>
        <v>1.2322043991550779E-3</v>
      </c>
      <c r="Q87" s="36">
        <f t="shared" si="8"/>
        <v>0.2</v>
      </c>
      <c r="R87" s="34" t="str">
        <f t="shared" si="9"/>
        <v>&gt;5M</v>
      </c>
    </row>
    <row r="88" spans="4:18">
      <c r="D88" s="25" t="s">
        <v>312</v>
      </c>
      <c r="E88" s="25" t="s">
        <v>313</v>
      </c>
      <c r="F88" s="25" t="s">
        <v>314</v>
      </c>
      <c r="G88" s="26">
        <v>46027</v>
      </c>
      <c r="H88" s="26">
        <v>45950</v>
      </c>
      <c r="I88" s="37">
        <v>4097357</v>
      </c>
      <c r="J88" s="25" t="s">
        <v>52</v>
      </c>
      <c r="K88" s="25" t="s">
        <v>56</v>
      </c>
      <c r="L88" s="25" t="s">
        <v>110</v>
      </c>
      <c r="M88" s="37">
        <v>28681499</v>
      </c>
      <c r="N88" s="34">
        <f t="shared" ca="1" si="5"/>
        <v>133</v>
      </c>
      <c r="O88" s="34" t="str">
        <f t="shared" ca="1" si="6"/>
        <v>90+</v>
      </c>
      <c r="P88" s="35">
        <f t="shared" si="7"/>
        <v>6.5717673812603088E-4</v>
      </c>
      <c r="Q88" s="36">
        <f t="shared" si="8"/>
        <v>0.14285714285714285</v>
      </c>
      <c r="R88" s="34" t="str">
        <f t="shared" si="9"/>
        <v>2M-5M</v>
      </c>
    </row>
    <row r="89" spans="4:18">
      <c r="D89" s="25" t="s">
        <v>261</v>
      </c>
      <c r="E89" s="25" t="s">
        <v>262</v>
      </c>
      <c r="F89" s="25" t="s">
        <v>315</v>
      </c>
      <c r="G89" s="26">
        <v>45831</v>
      </c>
      <c r="H89" s="26">
        <v>45993</v>
      </c>
      <c r="I89" s="37">
        <v>5163577</v>
      </c>
      <c r="J89" s="25" t="s">
        <v>133</v>
      </c>
      <c r="K89" s="25" t="s">
        <v>125</v>
      </c>
      <c r="L89" s="25" t="s">
        <v>121</v>
      </c>
      <c r="M89" s="37">
        <v>20654308</v>
      </c>
      <c r="N89" s="34">
        <f t="shared" ca="1" si="5"/>
        <v>90</v>
      </c>
      <c r="O89" s="34" t="str">
        <f t="shared" ca="1" si="6"/>
        <v>61-90</v>
      </c>
      <c r="P89" s="35">
        <f t="shared" si="7"/>
        <v>8.2818819300407463E-4</v>
      </c>
      <c r="Q89" s="36">
        <f t="shared" si="8"/>
        <v>0.25</v>
      </c>
      <c r="R89" s="34" t="str">
        <f t="shared" si="9"/>
        <v>&gt;5M</v>
      </c>
    </row>
    <row r="90" spans="4:18">
      <c r="D90" s="25" t="s">
        <v>279</v>
      </c>
      <c r="E90" s="25" t="s">
        <v>280</v>
      </c>
      <c r="F90" s="25" t="s">
        <v>316</v>
      </c>
      <c r="G90" s="26">
        <v>45981</v>
      </c>
      <c r="H90" s="26">
        <v>46116</v>
      </c>
      <c r="I90" s="37">
        <v>5256393</v>
      </c>
      <c r="J90" s="25" t="s">
        <v>52</v>
      </c>
      <c r="K90" s="25" t="s">
        <v>134</v>
      </c>
      <c r="L90" s="25" t="s">
        <v>110</v>
      </c>
      <c r="M90" s="37">
        <v>31538358</v>
      </c>
      <c r="N90" s="34">
        <f t="shared" ca="1" si="5"/>
        <v>0</v>
      </c>
      <c r="O90" s="34" t="str">
        <f t="shared" ca="1" si="6"/>
        <v>Current</v>
      </c>
      <c r="P90" s="35">
        <f t="shared" si="7"/>
        <v>8.4307498859594163E-4</v>
      </c>
      <c r="Q90" s="36">
        <f t="shared" si="8"/>
        <v>0.16666666666666666</v>
      </c>
      <c r="R90" s="34" t="str">
        <f t="shared" si="9"/>
        <v>&gt;5M</v>
      </c>
    </row>
    <row r="91" spans="4:18">
      <c r="D91" s="25" t="s">
        <v>208</v>
      </c>
      <c r="E91" s="25" t="s">
        <v>209</v>
      </c>
      <c r="F91" s="25" t="s">
        <v>317</v>
      </c>
      <c r="G91" s="26">
        <v>45815</v>
      </c>
      <c r="H91" s="26">
        <v>45961</v>
      </c>
      <c r="I91" s="37">
        <v>6184712</v>
      </c>
      <c r="J91" s="25" t="s">
        <v>52</v>
      </c>
      <c r="K91" s="25" t="s">
        <v>109</v>
      </c>
      <c r="L91" s="25" t="s">
        <v>114</v>
      </c>
      <c r="M91" s="37">
        <v>24738848</v>
      </c>
      <c r="N91" s="34">
        <f t="shared" ca="1" si="5"/>
        <v>122</v>
      </c>
      <c r="O91" s="34" t="str">
        <f t="shared" ca="1" si="6"/>
        <v>90+</v>
      </c>
      <c r="P91" s="35">
        <f t="shared" si="7"/>
        <v>9.9196844658859854E-4</v>
      </c>
      <c r="Q91" s="36">
        <f t="shared" si="8"/>
        <v>0.25</v>
      </c>
      <c r="R91" s="34" t="str">
        <f t="shared" si="9"/>
        <v>&gt;5M</v>
      </c>
    </row>
    <row r="92" spans="4:18">
      <c r="D92" s="25" t="s">
        <v>318</v>
      </c>
      <c r="E92" s="25" t="s">
        <v>319</v>
      </c>
      <c r="F92" s="25" t="s">
        <v>320</v>
      </c>
      <c r="G92" s="26">
        <v>45810</v>
      </c>
      <c r="H92" s="26">
        <v>46054</v>
      </c>
      <c r="I92" s="37">
        <v>237918</v>
      </c>
      <c r="J92" s="25" t="s">
        <v>99</v>
      </c>
      <c r="K92" s="25" t="s">
        <v>94</v>
      </c>
      <c r="L92" s="25" t="s">
        <v>95</v>
      </c>
      <c r="M92" s="37">
        <v>1903344</v>
      </c>
      <c r="N92" s="34">
        <f t="shared" ca="1" si="5"/>
        <v>29</v>
      </c>
      <c r="O92" s="34" t="str">
        <f t="shared" ca="1" si="6"/>
        <v>1-30</v>
      </c>
      <c r="P92" s="35">
        <f t="shared" si="7"/>
        <v>3.8159763765146415E-5</v>
      </c>
      <c r="Q92" s="36">
        <f t="shared" si="8"/>
        <v>0.125</v>
      </c>
      <c r="R92" s="34" t="str">
        <f t="shared" si="9"/>
        <v>&lt;500K</v>
      </c>
    </row>
    <row r="93" spans="4:18">
      <c r="D93" s="25" t="s">
        <v>321</v>
      </c>
      <c r="E93" s="25" t="s">
        <v>322</v>
      </c>
      <c r="F93" s="25" t="s">
        <v>323</v>
      </c>
      <c r="G93" s="26">
        <v>46038</v>
      </c>
      <c r="H93" s="26">
        <v>45921</v>
      </c>
      <c r="I93" s="37">
        <v>6127308</v>
      </c>
      <c r="J93" s="25" t="s">
        <v>52</v>
      </c>
      <c r="K93" s="25" t="s">
        <v>109</v>
      </c>
      <c r="L93" s="25" t="s">
        <v>110</v>
      </c>
      <c r="M93" s="37">
        <v>49018464</v>
      </c>
      <c r="N93" s="34">
        <f t="shared" ca="1" si="5"/>
        <v>162</v>
      </c>
      <c r="O93" s="34" t="str">
        <f t="shared" ca="1" si="6"/>
        <v>90+</v>
      </c>
      <c r="P93" s="35">
        <f t="shared" si="7"/>
        <v>9.8276139592755373E-4</v>
      </c>
      <c r="Q93" s="36">
        <f t="shared" si="8"/>
        <v>0.125</v>
      </c>
      <c r="R93" s="34" t="str">
        <f t="shared" si="9"/>
        <v>&gt;5M</v>
      </c>
    </row>
    <row r="94" spans="4:18">
      <c r="D94" s="25" t="s">
        <v>324</v>
      </c>
      <c r="E94" s="25" t="s">
        <v>325</v>
      </c>
      <c r="F94" s="25" t="s">
        <v>326</v>
      </c>
      <c r="G94" s="26">
        <v>46028</v>
      </c>
      <c r="H94" s="26">
        <v>45970</v>
      </c>
      <c r="I94" s="37">
        <v>3282995</v>
      </c>
      <c r="J94" s="25" t="s">
        <v>52</v>
      </c>
      <c r="K94" s="25" t="s">
        <v>56</v>
      </c>
      <c r="L94" s="25" t="s">
        <v>95</v>
      </c>
      <c r="M94" s="37">
        <v>26263960</v>
      </c>
      <c r="N94" s="34">
        <f t="shared" ca="1" si="5"/>
        <v>113</v>
      </c>
      <c r="O94" s="34" t="str">
        <f t="shared" ca="1" si="6"/>
        <v>90+</v>
      </c>
      <c r="P94" s="35">
        <f t="shared" si="7"/>
        <v>5.2656088922299637E-4</v>
      </c>
      <c r="Q94" s="36">
        <f t="shared" si="8"/>
        <v>0.125</v>
      </c>
      <c r="R94" s="34" t="str">
        <f t="shared" si="9"/>
        <v>2M-5M</v>
      </c>
    </row>
    <row r="95" spans="4:18">
      <c r="D95" s="25" t="s">
        <v>327</v>
      </c>
      <c r="E95" s="25" t="s">
        <v>328</v>
      </c>
      <c r="F95" s="25" t="s">
        <v>329</v>
      </c>
      <c r="G95" s="26">
        <v>45845</v>
      </c>
      <c r="H95" s="26">
        <v>46095</v>
      </c>
      <c r="I95" s="37">
        <v>3471151</v>
      </c>
      <c r="J95" s="25" t="s">
        <v>99</v>
      </c>
      <c r="K95" s="25" t="s">
        <v>125</v>
      </c>
      <c r="L95" s="25" t="s">
        <v>95</v>
      </c>
      <c r="M95" s="37">
        <v>6942302</v>
      </c>
      <c r="N95" s="34">
        <f t="shared" ca="1" si="5"/>
        <v>0</v>
      </c>
      <c r="O95" s="34" t="str">
        <f t="shared" ca="1" si="6"/>
        <v>Current</v>
      </c>
      <c r="P95" s="35">
        <f t="shared" si="7"/>
        <v>5.5673930578246174E-4</v>
      </c>
      <c r="Q95" s="36">
        <f t="shared" si="8"/>
        <v>0.5</v>
      </c>
      <c r="R95" s="34" t="str">
        <f t="shared" si="9"/>
        <v>2M-5M</v>
      </c>
    </row>
    <row r="96" spans="4:18">
      <c r="D96" s="25" t="s">
        <v>330</v>
      </c>
      <c r="E96" s="25" t="s">
        <v>331</v>
      </c>
      <c r="F96" s="25" t="s">
        <v>332</v>
      </c>
      <c r="G96" s="26">
        <v>45792</v>
      </c>
      <c r="H96" s="26">
        <v>45917</v>
      </c>
      <c r="I96" s="37">
        <v>7024716</v>
      </c>
      <c r="J96" s="25" t="s">
        <v>52</v>
      </c>
      <c r="K96" s="25" t="s">
        <v>125</v>
      </c>
      <c r="L96" s="25" t="s">
        <v>110</v>
      </c>
      <c r="M96" s="37">
        <v>49173012</v>
      </c>
      <c r="N96" s="34">
        <f t="shared" ca="1" si="5"/>
        <v>166</v>
      </c>
      <c r="O96" s="34" t="str">
        <f t="shared" ca="1" si="6"/>
        <v>90+</v>
      </c>
      <c r="P96" s="35">
        <f t="shared" si="7"/>
        <v>1.1266970261907222E-3</v>
      </c>
      <c r="Q96" s="36">
        <f t="shared" si="8"/>
        <v>0.14285714285714285</v>
      </c>
      <c r="R96" s="34" t="str">
        <f t="shared" si="9"/>
        <v>&gt;5M</v>
      </c>
    </row>
    <row r="97" spans="4:18">
      <c r="D97" s="25" t="s">
        <v>333</v>
      </c>
      <c r="E97" s="25" t="s">
        <v>334</v>
      </c>
      <c r="F97" s="25" t="s">
        <v>335</v>
      </c>
      <c r="G97" s="26">
        <v>45900</v>
      </c>
      <c r="H97" s="26">
        <v>45948</v>
      </c>
      <c r="I97" s="37">
        <v>3311352</v>
      </c>
      <c r="J97" s="25" t="s">
        <v>99</v>
      </c>
      <c r="K97" s="25" t="s">
        <v>134</v>
      </c>
      <c r="L97" s="25" t="s">
        <v>114</v>
      </c>
      <c r="M97" s="37">
        <v>29802168</v>
      </c>
      <c r="N97" s="34">
        <f t="shared" ca="1" si="5"/>
        <v>135</v>
      </c>
      <c r="O97" s="34" t="str">
        <f t="shared" ca="1" si="6"/>
        <v>90+</v>
      </c>
      <c r="P97" s="35">
        <f t="shared" si="7"/>
        <v>5.3110907986468072E-4</v>
      </c>
      <c r="Q97" s="36">
        <f t="shared" si="8"/>
        <v>0.1111111111111111</v>
      </c>
      <c r="R97" s="34" t="str">
        <f t="shared" si="9"/>
        <v>2M-5M</v>
      </c>
    </row>
    <row r="98" spans="4:18">
      <c r="D98" s="25" t="s">
        <v>336</v>
      </c>
      <c r="E98" s="25" t="s">
        <v>337</v>
      </c>
      <c r="F98" s="25" t="s">
        <v>338</v>
      </c>
      <c r="G98" s="26">
        <v>45900</v>
      </c>
      <c r="H98" s="26">
        <v>45967</v>
      </c>
      <c r="I98" s="37">
        <v>170510</v>
      </c>
      <c r="J98" s="25" t="s">
        <v>99</v>
      </c>
      <c r="K98" s="25" t="s">
        <v>109</v>
      </c>
      <c r="L98" s="25" t="s">
        <v>114</v>
      </c>
      <c r="M98" s="37">
        <v>1705100</v>
      </c>
      <c r="N98" s="34">
        <f t="shared" ca="1" si="5"/>
        <v>116</v>
      </c>
      <c r="O98" s="34" t="str">
        <f t="shared" ca="1" si="6"/>
        <v>90+</v>
      </c>
      <c r="P98" s="35">
        <f t="shared" si="7"/>
        <v>2.7348167518200029E-5</v>
      </c>
      <c r="Q98" s="36">
        <f t="shared" si="8"/>
        <v>0.1</v>
      </c>
      <c r="R98" s="34" t="str">
        <f t="shared" si="9"/>
        <v>&lt;500K</v>
      </c>
    </row>
    <row r="99" spans="4:18">
      <c r="D99" s="25" t="s">
        <v>192</v>
      </c>
      <c r="E99" s="25" t="s">
        <v>193</v>
      </c>
      <c r="F99" s="25" t="s">
        <v>339</v>
      </c>
      <c r="G99" s="26">
        <v>45854</v>
      </c>
      <c r="H99" s="26">
        <v>46029</v>
      </c>
      <c r="I99" s="37">
        <v>4298551</v>
      </c>
      <c r="J99" s="25" t="s">
        <v>99</v>
      </c>
      <c r="K99" s="25" t="s">
        <v>134</v>
      </c>
      <c r="L99" s="25" t="s">
        <v>138</v>
      </c>
      <c r="M99" s="37">
        <v>34388408</v>
      </c>
      <c r="N99" s="34">
        <f t="shared" ca="1" si="5"/>
        <v>54</v>
      </c>
      <c r="O99" s="34" t="str">
        <f t="shared" ca="1" si="6"/>
        <v>31-60</v>
      </c>
      <c r="P99" s="35">
        <f t="shared" si="7"/>
        <v>6.8944632475236793E-4</v>
      </c>
      <c r="Q99" s="36">
        <f t="shared" si="8"/>
        <v>0.125</v>
      </c>
      <c r="R99" s="34" t="str">
        <f t="shared" si="9"/>
        <v>2M-5M</v>
      </c>
    </row>
    <row r="100" spans="4:18">
      <c r="D100" s="25" t="s">
        <v>340</v>
      </c>
      <c r="E100" s="25" t="s">
        <v>341</v>
      </c>
      <c r="F100" s="25" t="s">
        <v>342</v>
      </c>
      <c r="G100" s="26">
        <v>45954</v>
      </c>
      <c r="H100" s="26">
        <v>46030</v>
      </c>
      <c r="I100" s="37">
        <v>754132</v>
      </c>
      <c r="J100" s="25" t="s">
        <v>52</v>
      </c>
      <c r="K100" s="25" t="s">
        <v>134</v>
      </c>
      <c r="L100" s="25" t="s">
        <v>114</v>
      </c>
      <c r="M100" s="37">
        <v>1508264</v>
      </c>
      <c r="N100" s="34">
        <f t="shared" ca="1" si="5"/>
        <v>53</v>
      </c>
      <c r="O100" s="34" t="str">
        <f t="shared" ca="1" si="6"/>
        <v>31-60</v>
      </c>
      <c r="P100" s="35">
        <f t="shared" si="7"/>
        <v>1.2095553496472479E-4</v>
      </c>
      <c r="Q100" s="36">
        <f t="shared" si="8"/>
        <v>0.5</v>
      </c>
      <c r="R100" s="34" t="str">
        <f t="shared" si="9"/>
        <v>500K-2M</v>
      </c>
    </row>
    <row r="101" spans="4:18">
      <c r="D101" s="25" t="s">
        <v>343</v>
      </c>
      <c r="E101" s="25" t="s">
        <v>344</v>
      </c>
      <c r="F101" s="25" t="s">
        <v>345</v>
      </c>
      <c r="G101" s="26">
        <v>45933</v>
      </c>
      <c r="H101" s="26">
        <v>46016</v>
      </c>
      <c r="I101" s="37">
        <v>7545511</v>
      </c>
      <c r="J101" s="25" t="s">
        <v>52</v>
      </c>
      <c r="K101" s="25" t="s">
        <v>125</v>
      </c>
      <c r="L101" s="25" t="s">
        <v>121</v>
      </c>
      <c r="M101" s="37">
        <v>75455110</v>
      </c>
      <c r="N101" s="34">
        <f t="shared" ca="1" si="5"/>
        <v>67</v>
      </c>
      <c r="O101" s="34" t="str">
        <f t="shared" ca="1" si="6"/>
        <v>61-90</v>
      </c>
      <c r="P101" s="35">
        <f t="shared" si="7"/>
        <v>1.2102275458238288E-3</v>
      </c>
      <c r="Q101" s="36">
        <f t="shared" si="8"/>
        <v>0.1</v>
      </c>
      <c r="R101" s="34" t="str">
        <f t="shared" si="9"/>
        <v>&gt;5M</v>
      </c>
    </row>
    <row r="102" spans="4:18">
      <c r="D102" s="25" t="s">
        <v>189</v>
      </c>
      <c r="E102" s="25" t="s">
        <v>190</v>
      </c>
      <c r="F102" s="25" t="s">
        <v>346</v>
      </c>
      <c r="G102" s="26">
        <v>45972</v>
      </c>
      <c r="H102" s="26">
        <v>45985</v>
      </c>
      <c r="I102" s="37">
        <v>1854822</v>
      </c>
      <c r="J102" s="25" t="s">
        <v>52</v>
      </c>
      <c r="K102" s="25" t="s">
        <v>89</v>
      </c>
      <c r="L102" s="25" t="s">
        <v>114</v>
      </c>
      <c r="M102" s="37">
        <v>16693398</v>
      </c>
      <c r="N102" s="34">
        <f t="shared" ca="1" si="5"/>
        <v>98</v>
      </c>
      <c r="O102" s="34" t="str">
        <f t="shared" ca="1" si="6"/>
        <v>90+</v>
      </c>
      <c r="P102" s="35">
        <f t="shared" si="7"/>
        <v>2.9749564701450246E-4</v>
      </c>
      <c r="Q102" s="36">
        <f t="shared" si="8"/>
        <v>0.1111111111111111</v>
      </c>
      <c r="R102" s="34" t="str">
        <f t="shared" si="9"/>
        <v>500K-2M</v>
      </c>
    </row>
    <row r="103" spans="4:18">
      <c r="D103" s="25" t="s">
        <v>347</v>
      </c>
      <c r="E103" s="25" t="s">
        <v>348</v>
      </c>
      <c r="F103" s="25" t="s">
        <v>349</v>
      </c>
      <c r="G103" s="26">
        <v>45904</v>
      </c>
      <c r="H103" s="26">
        <v>45980</v>
      </c>
      <c r="I103" s="37">
        <v>7745544</v>
      </c>
      <c r="J103" s="25" t="s">
        <v>52</v>
      </c>
      <c r="K103" s="25" t="s">
        <v>125</v>
      </c>
      <c r="L103" s="25" t="s">
        <v>90</v>
      </c>
      <c r="M103" s="37">
        <v>23236632</v>
      </c>
      <c r="N103" s="34">
        <f t="shared" ca="1" si="5"/>
        <v>103</v>
      </c>
      <c r="O103" s="34" t="str">
        <f t="shared" ca="1" si="6"/>
        <v>90+</v>
      </c>
      <c r="P103" s="35">
        <f t="shared" si="7"/>
        <v>1.2423109191929454E-3</v>
      </c>
      <c r="Q103" s="36">
        <f t="shared" si="8"/>
        <v>0.33333333333333331</v>
      </c>
      <c r="R103" s="34" t="str">
        <f t="shared" si="9"/>
        <v>&gt;5M</v>
      </c>
    </row>
    <row r="104" spans="4:18">
      <c r="D104" s="25" t="s">
        <v>350</v>
      </c>
      <c r="E104" s="25" t="s">
        <v>351</v>
      </c>
      <c r="F104" s="25" t="s">
        <v>352</v>
      </c>
      <c r="G104" s="26">
        <v>46012</v>
      </c>
      <c r="H104" s="26">
        <v>46050</v>
      </c>
      <c r="I104" s="37">
        <v>1974576</v>
      </c>
      <c r="J104" s="25" t="s">
        <v>99</v>
      </c>
      <c r="K104" s="25" t="s">
        <v>109</v>
      </c>
      <c r="L104" s="25" t="s">
        <v>90</v>
      </c>
      <c r="M104" s="37">
        <v>11847456</v>
      </c>
      <c r="N104" s="34">
        <f t="shared" ca="1" si="5"/>
        <v>33</v>
      </c>
      <c r="O104" s="34" t="str">
        <f t="shared" ca="1" si="6"/>
        <v>31-60</v>
      </c>
      <c r="P104" s="35">
        <f t="shared" si="7"/>
        <v>3.167030392670069E-4</v>
      </c>
      <c r="Q104" s="36">
        <f t="shared" si="8"/>
        <v>0.16666666666666666</v>
      </c>
      <c r="R104" s="34" t="str">
        <f t="shared" si="9"/>
        <v>500K-2M</v>
      </c>
    </row>
    <row r="105" spans="4:18">
      <c r="D105" s="25" t="s">
        <v>353</v>
      </c>
      <c r="E105" s="25" t="s">
        <v>354</v>
      </c>
      <c r="F105" s="25" t="s">
        <v>355</v>
      </c>
      <c r="G105" s="26">
        <v>46020</v>
      </c>
      <c r="H105" s="26">
        <v>46004</v>
      </c>
      <c r="I105" s="37">
        <v>5719916</v>
      </c>
      <c r="J105" s="25" t="s">
        <v>99</v>
      </c>
      <c r="K105" s="25" t="s">
        <v>89</v>
      </c>
      <c r="L105" s="25" t="s">
        <v>121</v>
      </c>
      <c r="M105" s="37">
        <v>45759328</v>
      </c>
      <c r="N105" s="34">
        <f t="shared" ca="1" si="5"/>
        <v>79</v>
      </c>
      <c r="O105" s="34" t="str">
        <f t="shared" ca="1" si="6"/>
        <v>61-90</v>
      </c>
      <c r="P105" s="35">
        <f t="shared" si="7"/>
        <v>9.17419629101124E-4</v>
      </c>
      <c r="Q105" s="36">
        <f t="shared" si="8"/>
        <v>0.125</v>
      </c>
      <c r="R105" s="34" t="str">
        <f t="shared" si="9"/>
        <v>&gt;5M</v>
      </c>
    </row>
    <row r="106" spans="4:18">
      <c r="D106" s="25" t="s">
        <v>208</v>
      </c>
      <c r="E106" s="25" t="s">
        <v>209</v>
      </c>
      <c r="F106" s="25" t="s">
        <v>356</v>
      </c>
      <c r="G106" s="26">
        <v>46045</v>
      </c>
      <c r="H106" s="26">
        <v>45918</v>
      </c>
      <c r="I106" s="37">
        <v>5867363</v>
      </c>
      <c r="J106" s="25" t="s">
        <v>99</v>
      </c>
      <c r="K106" s="25" t="s">
        <v>109</v>
      </c>
      <c r="L106" s="25" t="s">
        <v>110</v>
      </c>
      <c r="M106" s="37">
        <v>52806267</v>
      </c>
      <c r="N106" s="34">
        <f t="shared" ca="1" si="5"/>
        <v>165</v>
      </c>
      <c r="O106" s="34" t="str">
        <f t="shared" ca="1" si="6"/>
        <v>90+</v>
      </c>
      <c r="P106" s="35">
        <f t="shared" si="7"/>
        <v>9.4106871276809973E-4</v>
      </c>
      <c r="Q106" s="36">
        <f t="shared" si="8"/>
        <v>0.1111111111111111</v>
      </c>
      <c r="R106" s="34" t="str">
        <f t="shared" si="9"/>
        <v>&gt;5M</v>
      </c>
    </row>
    <row r="107" spans="4:18">
      <c r="D107" s="25" t="s">
        <v>357</v>
      </c>
      <c r="E107" s="25" t="s">
        <v>358</v>
      </c>
      <c r="F107" s="25" t="s">
        <v>359</v>
      </c>
      <c r="G107" s="26">
        <v>45945</v>
      </c>
      <c r="H107" s="26">
        <v>46077</v>
      </c>
      <c r="I107" s="37">
        <v>4728030</v>
      </c>
      <c r="J107" s="25" t="s">
        <v>52</v>
      </c>
      <c r="K107" s="25" t="s">
        <v>94</v>
      </c>
      <c r="L107" s="25" t="s">
        <v>90</v>
      </c>
      <c r="M107" s="37">
        <v>42552270</v>
      </c>
      <c r="N107" s="34">
        <f t="shared" ca="1" si="5"/>
        <v>6</v>
      </c>
      <c r="O107" s="34" t="str">
        <f t="shared" ca="1" si="6"/>
        <v>1-30</v>
      </c>
      <c r="P107" s="35">
        <f t="shared" si="7"/>
        <v>7.5833063439725108E-4</v>
      </c>
      <c r="Q107" s="36">
        <f t="shared" si="8"/>
        <v>0.1111111111111111</v>
      </c>
      <c r="R107" s="34" t="str">
        <f t="shared" si="9"/>
        <v>2M-5M</v>
      </c>
    </row>
    <row r="108" spans="4:18">
      <c r="D108" s="25" t="s">
        <v>100</v>
      </c>
      <c r="E108" s="25" t="s">
        <v>101</v>
      </c>
      <c r="F108" s="25" t="s">
        <v>360</v>
      </c>
      <c r="G108" s="26">
        <v>45810</v>
      </c>
      <c r="H108" s="26">
        <v>46118</v>
      </c>
      <c r="I108" s="37">
        <v>2100648</v>
      </c>
      <c r="J108" s="25" t="s">
        <v>99</v>
      </c>
      <c r="K108" s="25" t="s">
        <v>125</v>
      </c>
      <c r="L108" s="25" t="s">
        <v>138</v>
      </c>
      <c r="M108" s="37">
        <v>10503240</v>
      </c>
      <c r="N108" s="34">
        <f t="shared" ca="1" si="5"/>
        <v>0</v>
      </c>
      <c r="O108" s="34" t="str">
        <f t="shared" ca="1" si="6"/>
        <v>Current</v>
      </c>
      <c r="P108" s="35">
        <f t="shared" si="7"/>
        <v>3.3692377808205884E-4</v>
      </c>
      <c r="Q108" s="36">
        <f t="shared" si="8"/>
        <v>0.2</v>
      </c>
      <c r="R108" s="34" t="str">
        <f t="shared" si="9"/>
        <v>2M-5M</v>
      </c>
    </row>
    <row r="109" spans="4:18">
      <c r="D109" s="25" t="s">
        <v>361</v>
      </c>
      <c r="E109" s="25" t="s">
        <v>362</v>
      </c>
      <c r="F109" s="25" t="s">
        <v>363</v>
      </c>
      <c r="G109" s="26">
        <v>45854</v>
      </c>
      <c r="H109" s="26">
        <v>45919</v>
      </c>
      <c r="I109" s="37">
        <v>1087985</v>
      </c>
      <c r="J109" s="25" t="s">
        <v>52</v>
      </c>
      <c r="K109" s="25" t="s">
        <v>134</v>
      </c>
      <c r="L109" s="25" t="s">
        <v>114</v>
      </c>
      <c r="M109" s="37">
        <v>2175970</v>
      </c>
      <c r="N109" s="34">
        <f t="shared" ca="1" si="5"/>
        <v>164</v>
      </c>
      <c r="O109" s="34" t="str">
        <f t="shared" ca="1" si="6"/>
        <v>90+</v>
      </c>
      <c r="P109" s="35">
        <f t="shared" si="7"/>
        <v>1.7450235198691489E-4</v>
      </c>
      <c r="Q109" s="36">
        <f t="shared" si="8"/>
        <v>0.5</v>
      </c>
      <c r="R109" s="34" t="str">
        <f t="shared" si="9"/>
        <v>500K-2M</v>
      </c>
    </row>
    <row r="110" spans="4:18">
      <c r="D110" s="25" t="s">
        <v>232</v>
      </c>
      <c r="E110" s="25" t="s">
        <v>233</v>
      </c>
      <c r="F110" s="25" t="s">
        <v>364</v>
      </c>
      <c r="G110" s="26">
        <v>45730</v>
      </c>
      <c r="H110" s="26">
        <v>46006</v>
      </c>
      <c r="I110" s="37">
        <v>2208844</v>
      </c>
      <c r="J110" s="25" t="s">
        <v>99</v>
      </c>
      <c r="K110" s="25" t="s">
        <v>125</v>
      </c>
      <c r="L110" s="25" t="s">
        <v>121</v>
      </c>
      <c r="M110" s="37">
        <v>13253064</v>
      </c>
      <c r="N110" s="34">
        <f t="shared" ca="1" si="5"/>
        <v>77</v>
      </c>
      <c r="O110" s="34" t="str">
        <f t="shared" ca="1" si="6"/>
        <v>61-90</v>
      </c>
      <c r="P110" s="35">
        <f t="shared" si="7"/>
        <v>3.542773780632868E-4</v>
      </c>
      <c r="Q110" s="36">
        <f t="shared" si="8"/>
        <v>0.16666666666666666</v>
      </c>
      <c r="R110" s="34" t="str">
        <f t="shared" si="9"/>
        <v>2M-5M</v>
      </c>
    </row>
    <row r="111" spans="4:18">
      <c r="D111" s="25" t="s">
        <v>195</v>
      </c>
      <c r="E111" s="25" t="s">
        <v>196</v>
      </c>
      <c r="F111" s="25" t="s">
        <v>365</v>
      </c>
      <c r="G111" s="26">
        <v>45985</v>
      </c>
      <c r="H111" s="26">
        <v>46098</v>
      </c>
      <c r="I111" s="37">
        <v>4160598</v>
      </c>
      <c r="J111" s="25" t="s">
        <v>99</v>
      </c>
      <c r="K111" s="25" t="s">
        <v>134</v>
      </c>
      <c r="L111" s="25" t="s">
        <v>121</v>
      </c>
      <c r="M111" s="37">
        <v>33284784</v>
      </c>
      <c r="N111" s="34">
        <f t="shared" ca="1" si="5"/>
        <v>0</v>
      </c>
      <c r="O111" s="34" t="str">
        <f t="shared" ca="1" si="6"/>
        <v>Current</v>
      </c>
      <c r="P111" s="35">
        <f t="shared" si="7"/>
        <v>6.6731998756605485E-4</v>
      </c>
      <c r="Q111" s="36">
        <f t="shared" si="8"/>
        <v>0.125</v>
      </c>
      <c r="R111" s="34" t="str">
        <f t="shared" si="9"/>
        <v>2M-5M</v>
      </c>
    </row>
    <row r="112" spans="4:18">
      <c r="D112" s="25" t="s">
        <v>293</v>
      </c>
      <c r="E112" s="25" t="s">
        <v>294</v>
      </c>
      <c r="F112" s="25" t="s">
        <v>366</v>
      </c>
      <c r="G112" s="26">
        <v>45994</v>
      </c>
      <c r="H112" s="26">
        <v>46014</v>
      </c>
      <c r="I112" s="37">
        <v>7487513</v>
      </c>
      <c r="J112" s="25" t="s">
        <v>52</v>
      </c>
      <c r="K112" s="25" t="s">
        <v>56</v>
      </c>
      <c r="L112" s="25" t="s">
        <v>95</v>
      </c>
      <c r="M112" s="37">
        <v>52412591</v>
      </c>
      <c r="N112" s="34">
        <f t="shared" ca="1" si="5"/>
        <v>69</v>
      </c>
      <c r="O112" s="34" t="str">
        <f t="shared" ca="1" si="6"/>
        <v>61-90</v>
      </c>
      <c r="P112" s="35">
        <f t="shared" si="7"/>
        <v>1.2009252232637409E-3</v>
      </c>
      <c r="Q112" s="36">
        <f t="shared" si="8"/>
        <v>0.14285714285714285</v>
      </c>
      <c r="R112" s="34" t="str">
        <f t="shared" si="9"/>
        <v>&gt;5M</v>
      </c>
    </row>
    <row r="113" spans="4:18">
      <c r="D113" s="25" t="s">
        <v>367</v>
      </c>
      <c r="E113" s="25" t="s">
        <v>368</v>
      </c>
      <c r="F113" s="25" t="s">
        <v>369</v>
      </c>
      <c r="G113" s="26">
        <v>46010</v>
      </c>
      <c r="H113" s="26">
        <v>46113</v>
      </c>
      <c r="I113" s="37">
        <v>3155837</v>
      </c>
      <c r="J113" s="25" t="s">
        <v>52</v>
      </c>
      <c r="K113" s="25" t="s">
        <v>89</v>
      </c>
      <c r="L113" s="25" t="s">
        <v>110</v>
      </c>
      <c r="M113" s="37">
        <v>22090859</v>
      </c>
      <c r="N113" s="34">
        <f t="shared" ca="1" si="5"/>
        <v>0</v>
      </c>
      <c r="O113" s="34" t="str">
        <f t="shared" ca="1" si="6"/>
        <v>Current</v>
      </c>
      <c r="P113" s="35">
        <f t="shared" si="7"/>
        <v>5.0616596643090627E-4</v>
      </c>
      <c r="Q113" s="36">
        <f t="shared" si="8"/>
        <v>0.14285714285714285</v>
      </c>
      <c r="R113" s="34" t="str">
        <f t="shared" si="9"/>
        <v>2M-5M</v>
      </c>
    </row>
    <row r="114" spans="4:18">
      <c r="D114" s="25" t="s">
        <v>370</v>
      </c>
      <c r="E114" s="25" t="s">
        <v>371</v>
      </c>
      <c r="F114" s="25" t="s">
        <v>372</v>
      </c>
      <c r="G114" s="26">
        <v>45791</v>
      </c>
      <c r="H114" s="26">
        <v>46068</v>
      </c>
      <c r="I114" s="37">
        <v>6250923</v>
      </c>
      <c r="J114" s="25" t="s">
        <v>52</v>
      </c>
      <c r="K114" s="25" t="s">
        <v>94</v>
      </c>
      <c r="L114" s="25" t="s">
        <v>121</v>
      </c>
      <c r="M114" s="37">
        <v>37505538</v>
      </c>
      <c r="N114" s="34">
        <f t="shared" ca="1" si="5"/>
        <v>15</v>
      </c>
      <c r="O114" s="34" t="str">
        <f t="shared" ca="1" si="6"/>
        <v>1-30</v>
      </c>
      <c r="P114" s="35">
        <f t="shared" si="7"/>
        <v>1.0025880555238373E-3</v>
      </c>
      <c r="Q114" s="36">
        <f t="shared" si="8"/>
        <v>0.16666666666666666</v>
      </c>
      <c r="R114" s="34" t="str">
        <f t="shared" si="9"/>
        <v>&gt;5M</v>
      </c>
    </row>
    <row r="115" spans="4:18">
      <c r="D115" s="25" t="s">
        <v>373</v>
      </c>
      <c r="E115" s="25" t="s">
        <v>374</v>
      </c>
      <c r="F115" s="25" t="s">
        <v>375</v>
      </c>
      <c r="G115" s="26">
        <v>45978</v>
      </c>
      <c r="H115" s="26">
        <v>46083</v>
      </c>
      <c r="I115" s="37">
        <v>3825095</v>
      </c>
      <c r="J115" s="25" t="s">
        <v>52</v>
      </c>
      <c r="K115" s="25" t="s">
        <v>125</v>
      </c>
      <c r="L115" s="25" t="s">
        <v>90</v>
      </c>
      <c r="M115" s="37">
        <v>11475285</v>
      </c>
      <c r="N115" s="34">
        <f t="shared" ca="1" si="5"/>
        <v>0</v>
      </c>
      <c r="O115" s="34" t="str">
        <f t="shared" ca="1" si="6"/>
        <v>Current</v>
      </c>
      <c r="P115" s="35">
        <f t="shared" si="7"/>
        <v>6.1350852637985661E-4</v>
      </c>
      <c r="Q115" s="36">
        <f t="shared" si="8"/>
        <v>0.33333333333333331</v>
      </c>
      <c r="R115" s="34" t="str">
        <f t="shared" si="9"/>
        <v>2M-5M</v>
      </c>
    </row>
    <row r="116" spans="4:18">
      <c r="D116" s="25" t="s">
        <v>156</v>
      </c>
      <c r="E116" s="25" t="s">
        <v>157</v>
      </c>
      <c r="F116" s="25" t="s">
        <v>376</v>
      </c>
      <c r="G116" s="26">
        <v>45878</v>
      </c>
      <c r="H116" s="26">
        <v>46003</v>
      </c>
      <c r="I116" s="37">
        <v>5193642</v>
      </c>
      <c r="J116" s="25" t="s">
        <v>99</v>
      </c>
      <c r="K116" s="25" t="s">
        <v>94</v>
      </c>
      <c r="L116" s="25" t="s">
        <v>95</v>
      </c>
      <c r="M116" s="37">
        <v>15580926</v>
      </c>
      <c r="N116" s="34">
        <f t="shared" ca="1" si="5"/>
        <v>80</v>
      </c>
      <c r="O116" s="34" t="str">
        <f t="shared" ca="1" si="6"/>
        <v>61-90</v>
      </c>
      <c r="P116" s="35">
        <f t="shared" si="7"/>
        <v>8.3301033045310793E-4</v>
      </c>
      <c r="Q116" s="36">
        <f t="shared" si="8"/>
        <v>0.33333333333333331</v>
      </c>
      <c r="R116" s="34" t="str">
        <f t="shared" si="9"/>
        <v>&gt;5M</v>
      </c>
    </row>
    <row r="117" spans="4:18">
      <c r="D117" s="25" t="s">
        <v>377</v>
      </c>
      <c r="E117" s="25" t="s">
        <v>378</v>
      </c>
      <c r="F117" s="25" t="s">
        <v>379</v>
      </c>
      <c r="G117" s="26">
        <v>46019</v>
      </c>
      <c r="H117" s="26">
        <v>46110</v>
      </c>
      <c r="I117" s="37">
        <v>2522156</v>
      </c>
      <c r="J117" s="25" t="s">
        <v>52</v>
      </c>
      <c r="K117" s="25" t="s">
        <v>125</v>
      </c>
      <c r="L117" s="25" t="s">
        <v>114</v>
      </c>
      <c r="M117" s="37">
        <v>17655092</v>
      </c>
      <c r="N117" s="34">
        <f t="shared" ca="1" si="5"/>
        <v>0</v>
      </c>
      <c r="O117" s="34" t="str">
        <f t="shared" ca="1" si="6"/>
        <v>Current</v>
      </c>
      <c r="P117" s="35">
        <f t="shared" si="7"/>
        <v>4.0452961582917904E-4</v>
      </c>
      <c r="Q117" s="36">
        <f t="shared" si="8"/>
        <v>0.14285714285714285</v>
      </c>
      <c r="R117" s="34" t="str">
        <f t="shared" si="9"/>
        <v>2M-5M</v>
      </c>
    </row>
    <row r="118" spans="4:18">
      <c r="D118" s="25" t="s">
        <v>91</v>
      </c>
      <c r="E118" s="25" t="s">
        <v>92</v>
      </c>
      <c r="F118" s="25" t="s">
        <v>380</v>
      </c>
      <c r="G118" s="26">
        <v>45886</v>
      </c>
      <c r="H118" s="26">
        <v>45934</v>
      </c>
      <c r="I118" s="37">
        <v>2425103</v>
      </c>
      <c r="J118" s="25" t="s">
        <v>99</v>
      </c>
      <c r="K118" s="25" t="s">
        <v>134</v>
      </c>
      <c r="L118" s="25" t="s">
        <v>110</v>
      </c>
      <c r="M118" s="37">
        <v>7275309</v>
      </c>
      <c r="N118" s="34">
        <f t="shared" ca="1" si="5"/>
        <v>149</v>
      </c>
      <c r="O118" s="34" t="str">
        <f t="shared" ca="1" si="6"/>
        <v>90+</v>
      </c>
      <c r="P118" s="35">
        <f t="shared" si="7"/>
        <v>3.8896324610221953E-4</v>
      </c>
      <c r="Q118" s="36">
        <f t="shared" si="8"/>
        <v>0.33333333333333331</v>
      </c>
      <c r="R118" s="34" t="str">
        <f t="shared" si="9"/>
        <v>2M-5M</v>
      </c>
    </row>
    <row r="119" spans="4:18">
      <c r="D119" s="25" t="s">
        <v>381</v>
      </c>
      <c r="E119" s="25" t="s">
        <v>382</v>
      </c>
      <c r="F119" s="25" t="s">
        <v>383</v>
      </c>
      <c r="G119" s="26">
        <v>45787</v>
      </c>
      <c r="H119" s="26">
        <v>46131</v>
      </c>
      <c r="I119" s="37">
        <v>7826096</v>
      </c>
      <c r="J119" s="25" t="s">
        <v>52</v>
      </c>
      <c r="K119" s="25" t="s">
        <v>56</v>
      </c>
      <c r="L119" s="25" t="s">
        <v>110</v>
      </c>
      <c r="M119" s="37">
        <v>15652192</v>
      </c>
      <c r="N119" s="34">
        <f t="shared" ca="1" si="5"/>
        <v>0</v>
      </c>
      <c r="O119" s="34" t="str">
        <f t="shared" ca="1" si="6"/>
        <v>Current</v>
      </c>
      <c r="P119" s="35">
        <f t="shared" si="7"/>
        <v>1.255230686889421E-3</v>
      </c>
      <c r="Q119" s="36">
        <f t="shared" si="8"/>
        <v>0.5</v>
      </c>
      <c r="R119" s="34" t="str">
        <f t="shared" si="9"/>
        <v>&gt;5M</v>
      </c>
    </row>
    <row r="120" spans="4:18">
      <c r="D120" s="25" t="s">
        <v>384</v>
      </c>
      <c r="E120" s="25" t="s">
        <v>385</v>
      </c>
      <c r="F120" s="25" t="s">
        <v>386</v>
      </c>
      <c r="G120" s="26">
        <v>45799</v>
      </c>
      <c r="H120" s="26">
        <v>45997</v>
      </c>
      <c r="I120" s="37">
        <v>2950992</v>
      </c>
      <c r="J120" s="25" t="s">
        <v>99</v>
      </c>
      <c r="K120" s="25" t="s">
        <v>94</v>
      </c>
      <c r="L120" s="25" t="s">
        <v>138</v>
      </c>
      <c r="M120" s="37">
        <v>11803968</v>
      </c>
      <c r="N120" s="34">
        <f t="shared" ca="1" si="5"/>
        <v>86</v>
      </c>
      <c r="O120" s="34" t="str">
        <f t="shared" ca="1" si="6"/>
        <v>61-90</v>
      </c>
      <c r="P120" s="35">
        <f t="shared" si="7"/>
        <v>4.7331079444530024E-4</v>
      </c>
      <c r="Q120" s="36">
        <f t="shared" si="8"/>
        <v>0.25</v>
      </c>
      <c r="R120" s="34" t="str">
        <f t="shared" si="9"/>
        <v>2M-5M</v>
      </c>
    </row>
    <row r="121" spans="4:18">
      <c r="D121" s="25" t="s">
        <v>387</v>
      </c>
      <c r="E121" s="25" t="s">
        <v>388</v>
      </c>
      <c r="F121" s="25" t="s">
        <v>389</v>
      </c>
      <c r="G121" s="26">
        <v>45794</v>
      </c>
      <c r="H121" s="26">
        <v>46050</v>
      </c>
      <c r="I121" s="37">
        <v>850638</v>
      </c>
      <c r="J121" s="25" t="s">
        <v>52</v>
      </c>
      <c r="K121" s="25" t="s">
        <v>134</v>
      </c>
      <c r="L121" s="25" t="s">
        <v>138</v>
      </c>
      <c r="M121" s="37">
        <v>4253190</v>
      </c>
      <c r="N121" s="34">
        <f t="shared" ca="1" si="5"/>
        <v>33</v>
      </c>
      <c r="O121" s="34" t="str">
        <f t="shared" ca="1" si="6"/>
        <v>31-60</v>
      </c>
      <c r="P121" s="35">
        <f t="shared" si="7"/>
        <v>1.3643417114155555E-4</v>
      </c>
      <c r="Q121" s="36">
        <f t="shared" si="8"/>
        <v>0.2</v>
      </c>
      <c r="R121" s="34" t="str">
        <f t="shared" si="9"/>
        <v>500K-2M</v>
      </c>
    </row>
    <row r="122" spans="4:18">
      <c r="D122" s="25" t="s">
        <v>390</v>
      </c>
      <c r="E122" s="25" t="s">
        <v>391</v>
      </c>
      <c r="F122" s="25" t="s">
        <v>392</v>
      </c>
      <c r="G122" s="26">
        <v>45726</v>
      </c>
      <c r="H122" s="26">
        <v>45975</v>
      </c>
      <c r="I122" s="37">
        <v>5431050</v>
      </c>
      <c r="J122" s="25" t="s">
        <v>133</v>
      </c>
      <c r="K122" s="25" t="s">
        <v>134</v>
      </c>
      <c r="L122" s="25" t="s">
        <v>114</v>
      </c>
      <c r="M122" s="37">
        <v>38017350</v>
      </c>
      <c r="N122" s="34">
        <f t="shared" ca="1" si="5"/>
        <v>108</v>
      </c>
      <c r="O122" s="34" t="str">
        <f t="shared" ca="1" si="6"/>
        <v>90+</v>
      </c>
      <c r="P122" s="35">
        <f t="shared" si="7"/>
        <v>8.7108829511301552E-4</v>
      </c>
      <c r="Q122" s="36">
        <f t="shared" si="8"/>
        <v>0.14285714285714285</v>
      </c>
      <c r="R122" s="34" t="str">
        <f t="shared" si="9"/>
        <v>&gt;5M</v>
      </c>
    </row>
    <row r="123" spans="4:18">
      <c r="D123" s="25" t="s">
        <v>226</v>
      </c>
      <c r="E123" s="25" t="s">
        <v>227</v>
      </c>
      <c r="F123" s="25" t="s">
        <v>393</v>
      </c>
      <c r="G123" s="26">
        <v>45944</v>
      </c>
      <c r="H123" s="26">
        <v>45961</v>
      </c>
      <c r="I123" s="37">
        <v>7035790</v>
      </c>
      <c r="J123" s="25" t="s">
        <v>52</v>
      </c>
      <c r="K123" s="25" t="s">
        <v>125</v>
      </c>
      <c r="L123" s="25" t="s">
        <v>114</v>
      </c>
      <c r="M123" s="37">
        <v>56286320</v>
      </c>
      <c r="N123" s="34">
        <f t="shared" ca="1" si="5"/>
        <v>122</v>
      </c>
      <c r="O123" s="34" t="str">
        <f t="shared" ca="1" si="6"/>
        <v>90+</v>
      </c>
      <c r="P123" s="35">
        <f t="shared" si="7"/>
        <v>1.1284731895072229E-3</v>
      </c>
      <c r="Q123" s="36">
        <f t="shared" si="8"/>
        <v>0.125</v>
      </c>
      <c r="R123" s="34" t="str">
        <f t="shared" si="9"/>
        <v>&gt;5M</v>
      </c>
    </row>
    <row r="124" spans="4:18">
      <c r="D124" s="25" t="s">
        <v>180</v>
      </c>
      <c r="E124" s="25" t="s">
        <v>181</v>
      </c>
      <c r="F124" s="25" t="s">
        <v>394</v>
      </c>
      <c r="G124" s="26">
        <v>45842</v>
      </c>
      <c r="H124" s="26">
        <v>45928</v>
      </c>
      <c r="I124" s="37">
        <v>5164112</v>
      </c>
      <c r="J124" s="25" t="s">
        <v>52</v>
      </c>
      <c r="K124" s="25" t="s">
        <v>134</v>
      </c>
      <c r="L124" s="25" t="s">
        <v>95</v>
      </c>
      <c r="M124" s="37">
        <v>15492336</v>
      </c>
      <c r="N124" s="34">
        <f t="shared" ca="1" si="5"/>
        <v>155</v>
      </c>
      <c r="O124" s="34" t="str">
        <f t="shared" ca="1" si="6"/>
        <v>90+</v>
      </c>
      <c r="P124" s="35">
        <f t="shared" si="7"/>
        <v>8.2827400186937417E-4</v>
      </c>
      <c r="Q124" s="36">
        <f t="shared" si="8"/>
        <v>0.33333333333333331</v>
      </c>
      <c r="R124" s="34" t="str">
        <f t="shared" si="9"/>
        <v>&gt;5M</v>
      </c>
    </row>
    <row r="125" spans="4:18">
      <c r="D125" s="25" t="s">
        <v>395</v>
      </c>
      <c r="E125" s="25" t="s">
        <v>396</v>
      </c>
      <c r="F125" s="25" t="s">
        <v>397</v>
      </c>
      <c r="G125" s="26">
        <v>45991</v>
      </c>
      <c r="H125" s="26">
        <v>46015</v>
      </c>
      <c r="I125" s="37">
        <v>6859491</v>
      </c>
      <c r="J125" s="25" t="s">
        <v>52</v>
      </c>
      <c r="K125" s="25" t="s">
        <v>125</v>
      </c>
      <c r="L125" s="25" t="s">
        <v>114</v>
      </c>
      <c r="M125" s="37">
        <v>34297455</v>
      </c>
      <c r="N125" s="34">
        <f t="shared" ca="1" si="5"/>
        <v>68</v>
      </c>
      <c r="O125" s="34" t="str">
        <f t="shared" ca="1" si="6"/>
        <v>61-90</v>
      </c>
      <c r="P125" s="35">
        <f t="shared" si="7"/>
        <v>1.1001965219493604E-3</v>
      </c>
      <c r="Q125" s="36">
        <f t="shared" si="8"/>
        <v>0.2</v>
      </c>
      <c r="R125" s="34" t="str">
        <f t="shared" si="9"/>
        <v>&gt;5M</v>
      </c>
    </row>
    <row r="126" spans="4:18">
      <c r="D126" s="25" t="s">
        <v>398</v>
      </c>
      <c r="E126" s="25" t="s">
        <v>399</v>
      </c>
      <c r="F126" s="25" t="s">
        <v>400</v>
      </c>
      <c r="G126" s="26">
        <v>46036</v>
      </c>
      <c r="H126" s="26">
        <v>45951</v>
      </c>
      <c r="I126" s="37">
        <v>3027726</v>
      </c>
      <c r="J126" s="25" t="s">
        <v>52</v>
      </c>
      <c r="K126" s="25" t="s">
        <v>56</v>
      </c>
      <c r="L126" s="25" t="s">
        <v>138</v>
      </c>
      <c r="M126" s="37">
        <v>21194082</v>
      </c>
      <c r="N126" s="34">
        <f t="shared" ca="1" si="5"/>
        <v>132</v>
      </c>
      <c r="O126" s="34" t="str">
        <f t="shared" ca="1" si="6"/>
        <v>90+</v>
      </c>
      <c r="P126" s="35">
        <f t="shared" si="7"/>
        <v>4.8561819158530117E-4</v>
      </c>
      <c r="Q126" s="36">
        <f t="shared" si="8"/>
        <v>0.14285714285714285</v>
      </c>
      <c r="R126" s="34" t="str">
        <f t="shared" si="9"/>
        <v>2M-5M</v>
      </c>
    </row>
    <row r="127" spans="4:18">
      <c r="D127" s="25" t="s">
        <v>401</v>
      </c>
      <c r="E127" s="25" t="s">
        <v>402</v>
      </c>
      <c r="F127" s="25" t="s">
        <v>403</v>
      </c>
      <c r="G127" s="26">
        <v>45884</v>
      </c>
      <c r="H127" s="26">
        <v>45962</v>
      </c>
      <c r="I127" s="37">
        <v>6355267</v>
      </c>
      <c r="J127" s="25" t="s">
        <v>52</v>
      </c>
      <c r="K127" s="25" t="s">
        <v>125</v>
      </c>
      <c r="L127" s="25" t="s">
        <v>114</v>
      </c>
      <c r="M127" s="37">
        <v>44486869</v>
      </c>
      <c r="N127" s="34">
        <f t="shared" ca="1" si="5"/>
        <v>121</v>
      </c>
      <c r="O127" s="34" t="str">
        <f t="shared" ca="1" si="6"/>
        <v>90+</v>
      </c>
      <c r="P127" s="35">
        <f t="shared" si="7"/>
        <v>1.0193238316749079E-3</v>
      </c>
      <c r="Q127" s="36">
        <f t="shared" si="8"/>
        <v>0.14285714285714285</v>
      </c>
      <c r="R127" s="34" t="str">
        <f t="shared" si="9"/>
        <v>&gt;5M</v>
      </c>
    </row>
    <row r="128" spans="4:18">
      <c r="D128" s="25" t="s">
        <v>404</v>
      </c>
      <c r="E128" s="25" t="s">
        <v>405</v>
      </c>
      <c r="F128" s="25" t="s">
        <v>406</v>
      </c>
      <c r="G128" s="26">
        <v>45931</v>
      </c>
      <c r="H128" s="26">
        <v>45945</v>
      </c>
      <c r="I128" s="37">
        <v>7948207</v>
      </c>
      <c r="J128" s="25" t="s">
        <v>52</v>
      </c>
      <c r="K128" s="25" t="s">
        <v>94</v>
      </c>
      <c r="L128" s="25" t="s">
        <v>90</v>
      </c>
      <c r="M128" s="37">
        <v>15896414</v>
      </c>
      <c r="N128" s="34">
        <f t="shared" ca="1" si="5"/>
        <v>138</v>
      </c>
      <c r="O128" s="34" t="str">
        <f t="shared" ca="1" si="6"/>
        <v>90+</v>
      </c>
      <c r="P128" s="35">
        <f t="shared" si="7"/>
        <v>1.2748161193204511E-3</v>
      </c>
      <c r="Q128" s="36">
        <f t="shared" si="8"/>
        <v>0.5</v>
      </c>
      <c r="R128" s="34" t="str">
        <f t="shared" si="9"/>
        <v>&gt;5M</v>
      </c>
    </row>
    <row r="129" spans="4:18">
      <c r="D129" s="25" t="s">
        <v>407</v>
      </c>
      <c r="E129" s="25" t="s">
        <v>408</v>
      </c>
      <c r="F129" s="25" t="s">
        <v>409</v>
      </c>
      <c r="G129" s="26">
        <v>45921</v>
      </c>
      <c r="H129" s="26">
        <v>45956</v>
      </c>
      <c r="I129" s="37">
        <v>3301635</v>
      </c>
      <c r="J129" s="25" t="s">
        <v>52</v>
      </c>
      <c r="K129" s="25" t="s">
        <v>94</v>
      </c>
      <c r="L129" s="25" t="s">
        <v>114</v>
      </c>
      <c r="M129" s="37">
        <v>6603270</v>
      </c>
      <c r="N129" s="34">
        <f t="shared" ca="1" si="5"/>
        <v>127</v>
      </c>
      <c r="O129" s="34" t="str">
        <f t="shared" ca="1" si="6"/>
        <v>90+</v>
      </c>
      <c r="P129" s="35">
        <f t="shared" si="7"/>
        <v>5.2955056632427637E-4</v>
      </c>
      <c r="Q129" s="36">
        <f t="shared" si="8"/>
        <v>0.5</v>
      </c>
      <c r="R129" s="34" t="str">
        <f t="shared" si="9"/>
        <v>2M-5M</v>
      </c>
    </row>
    <row r="130" spans="4:18">
      <c r="D130" s="25" t="s">
        <v>255</v>
      </c>
      <c r="E130" s="25" t="s">
        <v>256</v>
      </c>
      <c r="F130" s="25" t="s">
        <v>410</v>
      </c>
      <c r="G130" s="26">
        <v>45903</v>
      </c>
      <c r="H130" s="26">
        <v>46098</v>
      </c>
      <c r="I130" s="37">
        <v>1462055</v>
      </c>
      <c r="J130" s="25" t="s">
        <v>99</v>
      </c>
      <c r="K130" s="25" t="s">
        <v>125</v>
      </c>
      <c r="L130" s="25" t="s">
        <v>114</v>
      </c>
      <c r="M130" s="37">
        <v>14620550</v>
      </c>
      <c r="N130" s="34">
        <f t="shared" ca="1" si="5"/>
        <v>0</v>
      </c>
      <c r="O130" s="34" t="str">
        <f t="shared" ca="1" si="6"/>
        <v>Current</v>
      </c>
      <c r="P130" s="35">
        <f t="shared" si="7"/>
        <v>2.3449958982359946E-4</v>
      </c>
      <c r="Q130" s="36">
        <f t="shared" si="8"/>
        <v>0.1</v>
      </c>
      <c r="R130" s="34" t="str">
        <f t="shared" si="9"/>
        <v>500K-2M</v>
      </c>
    </row>
    <row r="131" spans="4:18">
      <c r="D131" s="25" t="s">
        <v>152</v>
      </c>
      <c r="E131" s="25" t="s">
        <v>153</v>
      </c>
      <c r="F131" s="25" t="s">
        <v>411</v>
      </c>
      <c r="G131" s="26">
        <v>45993</v>
      </c>
      <c r="H131" s="26">
        <v>46064</v>
      </c>
      <c r="I131" s="37">
        <v>7238413</v>
      </c>
      <c r="J131" s="25" t="s">
        <v>133</v>
      </c>
      <c r="K131" s="25" t="s">
        <v>134</v>
      </c>
      <c r="L131" s="25" t="s">
        <v>110</v>
      </c>
      <c r="M131" s="37">
        <v>14476826</v>
      </c>
      <c r="N131" s="34">
        <f t="shared" ca="1" si="5"/>
        <v>19</v>
      </c>
      <c r="O131" s="34" t="str">
        <f t="shared" ca="1" si="6"/>
        <v>1-30</v>
      </c>
      <c r="P131" s="35">
        <f t="shared" si="7"/>
        <v>1.1609719740186314E-3</v>
      </c>
      <c r="Q131" s="36">
        <f t="shared" si="8"/>
        <v>0.5</v>
      </c>
      <c r="R131" s="34" t="str">
        <f t="shared" si="9"/>
        <v>&gt;5M</v>
      </c>
    </row>
    <row r="132" spans="4:18">
      <c r="D132" s="25" t="s">
        <v>412</v>
      </c>
      <c r="E132" s="25" t="s">
        <v>413</v>
      </c>
      <c r="F132" s="25" t="s">
        <v>414</v>
      </c>
      <c r="G132" s="26">
        <v>46033</v>
      </c>
      <c r="H132" s="26">
        <v>45959</v>
      </c>
      <c r="I132" s="37">
        <v>2664953</v>
      </c>
      <c r="J132" s="25" t="s">
        <v>99</v>
      </c>
      <c r="K132" s="25" t="s">
        <v>109</v>
      </c>
      <c r="L132" s="25" t="s">
        <v>90</v>
      </c>
      <c r="M132" s="37">
        <v>26649530</v>
      </c>
      <c r="N132" s="34">
        <f t="shared" ca="1" si="5"/>
        <v>124</v>
      </c>
      <c r="O132" s="34" t="str">
        <f t="shared" ca="1" si="6"/>
        <v>90+</v>
      </c>
      <c r="P132" s="35">
        <f t="shared" si="7"/>
        <v>4.274328841248591E-4</v>
      </c>
      <c r="Q132" s="36">
        <f t="shared" si="8"/>
        <v>0.1</v>
      </c>
      <c r="R132" s="34" t="str">
        <f t="shared" si="9"/>
        <v>2M-5M</v>
      </c>
    </row>
    <row r="133" spans="4:18">
      <c r="D133" s="25" t="s">
        <v>126</v>
      </c>
      <c r="E133" s="25" t="s">
        <v>127</v>
      </c>
      <c r="F133" s="25" t="s">
        <v>415</v>
      </c>
      <c r="G133" s="26">
        <v>46020</v>
      </c>
      <c r="H133" s="26">
        <v>45985</v>
      </c>
      <c r="I133" s="37">
        <v>5075914</v>
      </c>
      <c r="J133" s="25" t="s">
        <v>52</v>
      </c>
      <c r="K133" s="25" t="s">
        <v>94</v>
      </c>
      <c r="L133" s="25" t="s">
        <v>138</v>
      </c>
      <c r="M133" s="37">
        <v>45683226</v>
      </c>
      <c r="N133" s="34">
        <f t="shared" ca="1" si="5"/>
        <v>98</v>
      </c>
      <c r="O133" s="34" t="str">
        <f t="shared" ca="1" si="6"/>
        <v>90+</v>
      </c>
      <c r="P133" s="35">
        <f t="shared" si="7"/>
        <v>8.141278891559251E-4</v>
      </c>
      <c r="Q133" s="36">
        <f t="shared" si="8"/>
        <v>0.1111111111111111</v>
      </c>
      <c r="R133" s="34" t="str">
        <f t="shared" si="9"/>
        <v>&gt;5M</v>
      </c>
    </row>
    <row r="134" spans="4:18">
      <c r="D134" s="25" t="s">
        <v>416</v>
      </c>
      <c r="E134" s="25" t="s">
        <v>417</v>
      </c>
      <c r="F134" s="25" t="s">
        <v>418</v>
      </c>
      <c r="G134" s="26">
        <v>45985</v>
      </c>
      <c r="H134" s="26">
        <v>46098</v>
      </c>
      <c r="I134" s="37">
        <v>2133419</v>
      </c>
      <c r="J134" s="25" t="s">
        <v>99</v>
      </c>
      <c r="K134" s="25" t="s">
        <v>89</v>
      </c>
      <c r="L134" s="25" t="s">
        <v>114</v>
      </c>
      <c r="M134" s="37">
        <v>8533676</v>
      </c>
      <c r="N134" s="34">
        <f t="shared" ca="1" si="5"/>
        <v>0</v>
      </c>
      <c r="O134" s="34" t="str">
        <f t="shared" ca="1" si="6"/>
        <v>Current</v>
      </c>
      <c r="P134" s="35">
        <f t="shared" si="7"/>
        <v>3.4217993196006562E-4</v>
      </c>
      <c r="Q134" s="36">
        <f t="shared" si="8"/>
        <v>0.25</v>
      </c>
      <c r="R134" s="34" t="str">
        <f t="shared" si="9"/>
        <v>2M-5M</v>
      </c>
    </row>
    <row r="135" spans="4:18">
      <c r="D135" s="25" t="s">
        <v>419</v>
      </c>
      <c r="E135" s="25" t="s">
        <v>420</v>
      </c>
      <c r="F135" s="25" t="s">
        <v>421</v>
      </c>
      <c r="G135" s="26">
        <v>45747</v>
      </c>
      <c r="H135" s="26">
        <v>45988</v>
      </c>
      <c r="I135" s="37">
        <v>3018647</v>
      </c>
      <c r="J135" s="25" t="s">
        <v>52</v>
      </c>
      <c r="K135" s="25" t="s">
        <v>125</v>
      </c>
      <c r="L135" s="25" t="s">
        <v>114</v>
      </c>
      <c r="M135" s="37">
        <v>12074588</v>
      </c>
      <c r="N135" s="34">
        <f t="shared" ca="1" si="5"/>
        <v>95</v>
      </c>
      <c r="O135" s="34" t="str">
        <f t="shared" ca="1" si="6"/>
        <v>90+</v>
      </c>
      <c r="P135" s="35">
        <f t="shared" si="7"/>
        <v>4.8416200712164665E-4</v>
      </c>
      <c r="Q135" s="36">
        <f t="shared" si="8"/>
        <v>0.25</v>
      </c>
      <c r="R135" s="34" t="str">
        <f t="shared" si="9"/>
        <v>2M-5M</v>
      </c>
    </row>
    <row r="136" spans="4:18">
      <c r="D136" s="25" t="s">
        <v>270</v>
      </c>
      <c r="E136" s="25" t="s">
        <v>271</v>
      </c>
      <c r="F136" s="25" t="s">
        <v>422</v>
      </c>
      <c r="G136" s="26">
        <v>45848</v>
      </c>
      <c r="H136" s="26">
        <v>46058</v>
      </c>
      <c r="I136" s="37">
        <v>4613386</v>
      </c>
      <c r="J136" s="25" t="s">
        <v>99</v>
      </c>
      <c r="K136" s="25" t="s">
        <v>109</v>
      </c>
      <c r="L136" s="25" t="s">
        <v>90</v>
      </c>
      <c r="M136" s="37">
        <v>36907088</v>
      </c>
      <c r="N136" s="34">
        <f t="shared" ref="N136:N199" ca="1" si="10">MAX(0,TODAY()-H136)</f>
        <v>25</v>
      </c>
      <c r="O136" s="34" t="str">
        <f t="shared" ref="O136:O199" ca="1" si="11">IF(N136&lt;=0,"Current",
IF(N136&lt;=30,"1-30",
IF(N136&lt;=60,"31-60",
IF(N136&lt;=90,"61-90","90+"))))</f>
        <v>1-30</v>
      </c>
      <c r="P136" s="35">
        <f t="shared" ref="P136:P199" si="12">I136/SUM($I$7:$I$438)</f>
        <v>7.3994283710115982E-4</v>
      </c>
      <c r="Q136" s="36">
        <f t="shared" ref="Q136:Q199" si="13">I136/M136</f>
        <v>0.125</v>
      </c>
      <c r="R136" s="34" t="str">
        <f t="shared" ref="R136:R199" si="14">IF(I136&lt;500000,"&lt;500K",
IF(I136&lt;2000000,"500K-2M",
IF(I136&lt;5000000,"2M-5M","&gt;5M")))</f>
        <v>2M-5M</v>
      </c>
    </row>
    <row r="137" spans="4:18">
      <c r="D137" s="25" t="s">
        <v>419</v>
      </c>
      <c r="E137" s="25" t="s">
        <v>420</v>
      </c>
      <c r="F137" s="25" t="s">
        <v>423</v>
      </c>
      <c r="G137" s="26">
        <v>45740</v>
      </c>
      <c r="H137" s="26">
        <v>45922</v>
      </c>
      <c r="I137" s="37">
        <v>634859</v>
      </c>
      <c r="J137" s="25" t="s">
        <v>99</v>
      </c>
      <c r="K137" s="25" t="s">
        <v>109</v>
      </c>
      <c r="L137" s="25" t="s">
        <v>138</v>
      </c>
      <c r="M137" s="37">
        <v>1269718</v>
      </c>
      <c r="N137" s="34">
        <f t="shared" ca="1" si="10"/>
        <v>161</v>
      </c>
      <c r="O137" s="34" t="str">
        <f t="shared" ca="1" si="11"/>
        <v>90+</v>
      </c>
      <c r="P137" s="35">
        <f t="shared" si="12"/>
        <v>1.0182529049578882E-4</v>
      </c>
      <c r="Q137" s="36">
        <f t="shared" si="13"/>
        <v>0.5</v>
      </c>
      <c r="R137" s="34" t="str">
        <f t="shared" si="14"/>
        <v>500K-2M</v>
      </c>
    </row>
    <row r="138" spans="4:18">
      <c r="D138" s="25" t="s">
        <v>340</v>
      </c>
      <c r="E138" s="25" t="s">
        <v>341</v>
      </c>
      <c r="F138" s="25" t="s">
        <v>424</v>
      </c>
      <c r="G138" s="26">
        <v>45773</v>
      </c>
      <c r="H138" s="26">
        <v>45938</v>
      </c>
      <c r="I138" s="37">
        <v>6542011</v>
      </c>
      <c r="J138" s="25" t="s">
        <v>52</v>
      </c>
      <c r="K138" s="25" t="s">
        <v>109</v>
      </c>
      <c r="L138" s="25" t="s">
        <v>138</v>
      </c>
      <c r="M138" s="37">
        <v>52336088</v>
      </c>
      <c r="N138" s="34">
        <f t="shared" ca="1" si="10"/>
        <v>145</v>
      </c>
      <c r="O138" s="34" t="str">
        <f t="shared" ca="1" si="11"/>
        <v>90+</v>
      </c>
      <c r="P138" s="35">
        <f t="shared" si="12"/>
        <v>1.0492757769861433E-3</v>
      </c>
      <c r="Q138" s="36">
        <f t="shared" si="13"/>
        <v>0.125</v>
      </c>
      <c r="R138" s="34" t="str">
        <f t="shared" si="14"/>
        <v>&gt;5M</v>
      </c>
    </row>
    <row r="139" spans="4:18">
      <c r="D139" s="25" t="s">
        <v>215</v>
      </c>
      <c r="E139" s="25" t="s">
        <v>216</v>
      </c>
      <c r="F139" s="25" t="s">
        <v>425</v>
      </c>
      <c r="G139" s="26">
        <v>45868</v>
      </c>
      <c r="H139" s="26">
        <v>45909</v>
      </c>
      <c r="I139" s="37">
        <v>7687813</v>
      </c>
      <c r="J139" s="25" t="s">
        <v>52</v>
      </c>
      <c r="K139" s="25" t="s">
        <v>56</v>
      </c>
      <c r="L139" s="25" t="s">
        <v>95</v>
      </c>
      <c r="M139" s="37">
        <v>30751252</v>
      </c>
      <c r="N139" s="34">
        <f t="shared" ca="1" si="10"/>
        <v>174</v>
      </c>
      <c r="O139" s="34" t="str">
        <f t="shared" ca="1" si="11"/>
        <v>90+</v>
      </c>
      <c r="P139" s="35">
        <f t="shared" si="12"/>
        <v>1.2330514208703063E-3</v>
      </c>
      <c r="Q139" s="36">
        <f t="shared" si="13"/>
        <v>0.25</v>
      </c>
      <c r="R139" s="34" t="str">
        <f t="shared" si="14"/>
        <v>&gt;5M</v>
      </c>
    </row>
    <row r="140" spans="4:18">
      <c r="D140" s="25" t="s">
        <v>426</v>
      </c>
      <c r="E140" s="25" t="s">
        <v>427</v>
      </c>
      <c r="F140" s="25" t="s">
        <v>428</v>
      </c>
      <c r="G140" s="26">
        <v>45719</v>
      </c>
      <c r="H140" s="26">
        <v>45934</v>
      </c>
      <c r="I140" s="37">
        <v>205702</v>
      </c>
      <c r="J140" s="25" t="s">
        <v>99</v>
      </c>
      <c r="K140" s="25" t="s">
        <v>56</v>
      </c>
      <c r="L140" s="25" t="s">
        <v>138</v>
      </c>
      <c r="M140" s="37">
        <v>617106</v>
      </c>
      <c r="N140" s="34">
        <f t="shared" ca="1" si="10"/>
        <v>149</v>
      </c>
      <c r="O140" s="34" t="str">
        <f t="shared" ca="1" si="11"/>
        <v>90+</v>
      </c>
      <c r="P140" s="35">
        <f t="shared" si="12"/>
        <v>3.2992626560487845E-5</v>
      </c>
      <c r="Q140" s="36">
        <f t="shared" si="13"/>
        <v>0.33333333333333331</v>
      </c>
      <c r="R140" s="34" t="str">
        <f t="shared" si="14"/>
        <v>&lt;500K</v>
      </c>
    </row>
    <row r="141" spans="4:18">
      <c r="D141" s="25" t="s">
        <v>429</v>
      </c>
      <c r="E141" s="25" t="s">
        <v>430</v>
      </c>
      <c r="F141" s="25" t="s">
        <v>431</v>
      </c>
      <c r="G141" s="26">
        <v>45997</v>
      </c>
      <c r="H141" s="26">
        <v>45953</v>
      </c>
      <c r="I141" s="37">
        <v>6945880</v>
      </c>
      <c r="J141" s="25" t="s">
        <v>52</v>
      </c>
      <c r="K141" s="25" t="s">
        <v>134</v>
      </c>
      <c r="L141" s="25" t="s">
        <v>121</v>
      </c>
      <c r="M141" s="37">
        <v>69458800</v>
      </c>
      <c r="N141" s="34">
        <f t="shared" ca="1" si="10"/>
        <v>130</v>
      </c>
      <c r="O141" s="34" t="str">
        <f t="shared" ca="1" si="11"/>
        <v>90+</v>
      </c>
      <c r="P141" s="35">
        <f t="shared" si="12"/>
        <v>1.1140524884248151E-3</v>
      </c>
      <c r="Q141" s="36">
        <f t="shared" si="13"/>
        <v>0.1</v>
      </c>
      <c r="R141" s="34" t="str">
        <f t="shared" si="14"/>
        <v>&gt;5M</v>
      </c>
    </row>
    <row r="142" spans="4:18">
      <c r="D142" s="25" t="s">
        <v>432</v>
      </c>
      <c r="E142" s="25" t="s">
        <v>433</v>
      </c>
      <c r="F142" s="25" t="s">
        <v>434</v>
      </c>
      <c r="G142" s="26">
        <v>46021</v>
      </c>
      <c r="H142" s="26">
        <v>46016</v>
      </c>
      <c r="I142" s="37">
        <v>2999847</v>
      </c>
      <c r="J142" s="25" t="s">
        <v>99</v>
      </c>
      <c r="K142" s="25" t="s">
        <v>109</v>
      </c>
      <c r="L142" s="25" t="s">
        <v>110</v>
      </c>
      <c r="M142" s="37">
        <v>20998929</v>
      </c>
      <c r="N142" s="34">
        <f t="shared" ca="1" si="10"/>
        <v>67</v>
      </c>
      <c r="O142" s="34" t="str">
        <f t="shared" ca="1" si="11"/>
        <v>61-90</v>
      </c>
      <c r="P142" s="35">
        <f t="shared" si="12"/>
        <v>4.81146667555978E-4</v>
      </c>
      <c r="Q142" s="36">
        <f t="shared" si="13"/>
        <v>0.14285714285714285</v>
      </c>
      <c r="R142" s="34" t="str">
        <f t="shared" si="14"/>
        <v>2M-5M</v>
      </c>
    </row>
    <row r="143" spans="4:18">
      <c r="D143" s="25" t="s">
        <v>435</v>
      </c>
      <c r="E143" s="25" t="s">
        <v>436</v>
      </c>
      <c r="F143" s="25" t="s">
        <v>437</v>
      </c>
      <c r="G143" s="26">
        <v>45896</v>
      </c>
      <c r="H143" s="26">
        <v>46021</v>
      </c>
      <c r="I143" s="37">
        <v>2244560</v>
      </c>
      <c r="J143" s="25" t="s">
        <v>99</v>
      </c>
      <c r="K143" s="25" t="s">
        <v>94</v>
      </c>
      <c r="L143" s="25" t="s">
        <v>121</v>
      </c>
      <c r="M143" s="37">
        <v>4489120</v>
      </c>
      <c r="N143" s="34">
        <f t="shared" ca="1" si="10"/>
        <v>62</v>
      </c>
      <c r="O143" s="34" t="str">
        <f t="shared" ca="1" si="11"/>
        <v>61-90</v>
      </c>
      <c r="P143" s="35">
        <f t="shared" si="12"/>
        <v>3.600058816764475E-4</v>
      </c>
      <c r="Q143" s="36">
        <f t="shared" si="13"/>
        <v>0.5</v>
      </c>
      <c r="R143" s="34" t="str">
        <f t="shared" si="14"/>
        <v>2M-5M</v>
      </c>
    </row>
    <row r="144" spans="4:18">
      <c r="D144" s="25" t="s">
        <v>407</v>
      </c>
      <c r="E144" s="25" t="s">
        <v>408</v>
      </c>
      <c r="F144" s="25" t="s">
        <v>438</v>
      </c>
      <c r="G144" s="26">
        <v>45897</v>
      </c>
      <c r="H144" s="26">
        <v>46070</v>
      </c>
      <c r="I144" s="37">
        <v>7846502</v>
      </c>
      <c r="J144" s="25" t="s">
        <v>52</v>
      </c>
      <c r="K144" s="25" t="s">
        <v>56</v>
      </c>
      <c r="L144" s="25" t="s">
        <v>110</v>
      </c>
      <c r="M144" s="37">
        <v>31386008</v>
      </c>
      <c r="N144" s="34">
        <f t="shared" ca="1" si="10"/>
        <v>13</v>
      </c>
      <c r="O144" s="34" t="str">
        <f t="shared" ca="1" si="11"/>
        <v>1-30</v>
      </c>
      <c r="P144" s="35">
        <f t="shared" si="12"/>
        <v>1.258503613441391E-3</v>
      </c>
      <c r="Q144" s="36">
        <f t="shared" si="13"/>
        <v>0.25</v>
      </c>
      <c r="R144" s="34" t="str">
        <f t="shared" si="14"/>
        <v>&gt;5M</v>
      </c>
    </row>
    <row r="145" spans="4:18">
      <c r="D145" s="25" t="s">
        <v>439</v>
      </c>
      <c r="E145" s="25" t="s">
        <v>440</v>
      </c>
      <c r="F145" s="25" t="s">
        <v>441</v>
      </c>
      <c r="G145" s="26">
        <v>45743</v>
      </c>
      <c r="H145" s="26">
        <v>45960</v>
      </c>
      <c r="I145" s="37">
        <v>1624388</v>
      </c>
      <c r="J145" s="25" t="s">
        <v>99</v>
      </c>
      <c r="K145" s="25" t="s">
        <v>56</v>
      </c>
      <c r="L145" s="25" t="s">
        <v>95</v>
      </c>
      <c r="M145" s="37">
        <v>3248776</v>
      </c>
      <c r="N145" s="34">
        <f t="shared" ca="1" si="10"/>
        <v>123</v>
      </c>
      <c r="O145" s="34" t="str">
        <f t="shared" ca="1" si="11"/>
        <v>90+</v>
      </c>
      <c r="P145" s="35">
        <f t="shared" si="12"/>
        <v>2.6053624502113604E-4</v>
      </c>
      <c r="Q145" s="36">
        <f t="shared" si="13"/>
        <v>0.5</v>
      </c>
      <c r="R145" s="34" t="str">
        <f t="shared" si="14"/>
        <v>500K-2M</v>
      </c>
    </row>
    <row r="146" spans="4:18">
      <c r="D146" s="25" t="s">
        <v>215</v>
      </c>
      <c r="E146" s="25" t="s">
        <v>216</v>
      </c>
      <c r="F146" s="25" t="s">
        <v>442</v>
      </c>
      <c r="G146" s="26">
        <v>45805</v>
      </c>
      <c r="H146" s="26">
        <v>45970</v>
      </c>
      <c r="I146" s="37">
        <v>1335093</v>
      </c>
      <c r="J146" s="25" t="s">
        <v>52</v>
      </c>
      <c r="K146" s="25" t="s">
        <v>94</v>
      </c>
      <c r="L146" s="25" t="s">
        <v>95</v>
      </c>
      <c r="M146" s="37">
        <v>10680744</v>
      </c>
      <c r="N146" s="34">
        <f t="shared" ca="1" si="10"/>
        <v>113</v>
      </c>
      <c r="O146" s="34" t="str">
        <f t="shared" ca="1" si="11"/>
        <v>90+</v>
      </c>
      <c r="P146" s="35">
        <f t="shared" si="12"/>
        <v>2.1413610355038549E-4</v>
      </c>
      <c r="Q146" s="36">
        <f t="shared" si="13"/>
        <v>0.125</v>
      </c>
      <c r="R146" s="34" t="str">
        <f t="shared" si="14"/>
        <v>500K-2M</v>
      </c>
    </row>
    <row r="147" spans="4:18">
      <c r="D147" s="25" t="s">
        <v>443</v>
      </c>
      <c r="E147" s="25" t="s">
        <v>444</v>
      </c>
      <c r="F147" s="25" t="s">
        <v>445</v>
      </c>
      <c r="G147" s="26">
        <v>46015</v>
      </c>
      <c r="H147" s="26">
        <v>45917</v>
      </c>
      <c r="I147" s="37">
        <v>3404320</v>
      </c>
      <c r="J147" s="25" t="s">
        <v>99</v>
      </c>
      <c r="K147" s="25" t="s">
        <v>109</v>
      </c>
      <c r="L147" s="25" t="s">
        <v>110</v>
      </c>
      <c r="M147" s="37">
        <v>13617280</v>
      </c>
      <c r="N147" s="34">
        <f t="shared" ca="1" si="10"/>
        <v>166</v>
      </c>
      <c r="O147" s="34" t="str">
        <f t="shared" ca="1" si="11"/>
        <v>90+</v>
      </c>
      <c r="P147" s="35">
        <f t="shared" si="12"/>
        <v>5.4602025479771703E-4</v>
      </c>
      <c r="Q147" s="36">
        <f t="shared" si="13"/>
        <v>0.25</v>
      </c>
      <c r="R147" s="34" t="str">
        <f t="shared" si="14"/>
        <v>2M-5M</v>
      </c>
    </row>
    <row r="148" spans="4:18">
      <c r="D148" s="25" t="s">
        <v>340</v>
      </c>
      <c r="E148" s="25" t="s">
        <v>341</v>
      </c>
      <c r="F148" s="25" t="s">
        <v>446</v>
      </c>
      <c r="G148" s="26">
        <v>45966</v>
      </c>
      <c r="H148" s="26">
        <v>45912</v>
      </c>
      <c r="I148" s="37">
        <v>6191230</v>
      </c>
      <c r="J148" s="25" t="s">
        <v>52</v>
      </c>
      <c r="K148" s="25" t="s">
        <v>94</v>
      </c>
      <c r="L148" s="25" t="s">
        <v>138</v>
      </c>
      <c r="M148" s="37">
        <v>30956150</v>
      </c>
      <c r="N148" s="34">
        <f t="shared" ca="1" si="10"/>
        <v>171</v>
      </c>
      <c r="O148" s="34" t="str">
        <f t="shared" ca="1" si="11"/>
        <v>90+</v>
      </c>
      <c r="P148" s="35">
        <f t="shared" si="12"/>
        <v>9.9301387123163203E-4</v>
      </c>
      <c r="Q148" s="36">
        <f t="shared" si="13"/>
        <v>0.2</v>
      </c>
      <c r="R148" s="34" t="str">
        <f t="shared" si="14"/>
        <v>&gt;5M</v>
      </c>
    </row>
    <row r="149" spans="4:18">
      <c r="D149" s="25" t="s">
        <v>447</v>
      </c>
      <c r="E149" s="25" t="s">
        <v>448</v>
      </c>
      <c r="F149" s="25" t="s">
        <v>449</v>
      </c>
      <c r="G149" s="26">
        <v>45751</v>
      </c>
      <c r="H149" s="26">
        <v>45993</v>
      </c>
      <c r="I149" s="37">
        <v>2139789</v>
      </c>
      <c r="J149" s="25" t="s">
        <v>52</v>
      </c>
      <c r="K149" s="25" t="s">
        <v>89</v>
      </c>
      <c r="L149" s="25" t="s">
        <v>138</v>
      </c>
      <c r="M149" s="37">
        <v>10698945</v>
      </c>
      <c r="N149" s="34">
        <f t="shared" ca="1" si="10"/>
        <v>90</v>
      </c>
      <c r="O149" s="34" t="str">
        <f t="shared" ca="1" si="11"/>
        <v>61-90</v>
      </c>
      <c r="P149" s="35">
        <f t="shared" si="12"/>
        <v>3.4320161882353951E-4</v>
      </c>
      <c r="Q149" s="36">
        <f t="shared" si="13"/>
        <v>0.2</v>
      </c>
      <c r="R149" s="34" t="str">
        <f t="shared" si="14"/>
        <v>2M-5M</v>
      </c>
    </row>
    <row r="150" spans="4:18">
      <c r="D150" s="25" t="s">
        <v>447</v>
      </c>
      <c r="E150" s="25" t="s">
        <v>448</v>
      </c>
      <c r="F150" s="25" t="s">
        <v>450</v>
      </c>
      <c r="G150" s="26">
        <v>45729</v>
      </c>
      <c r="H150" s="26">
        <v>46101</v>
      </c>
      <c r="I150" s="37">
        <v>2365040</v>
      </c>
      <c r="J150" s="25" t="s">
        <v>99</v>
      </c>
      <c r="K150" s="25" t="s">
        <v>56</v>
      </c>
      <c r="L150" s="25" t="s">
        <v>95</v>
      </c>
      <c r="M150" s="37">
        <v>4730080</v>
      </c>
      <c r="N150" s="34">
        <f t="shared" ca="1" si="10"/>
        <v>0</v>
      </c>
      <c r="O150" s="34" t="str">
        <f t="shared" ca="1" si="11"/>
        <v>Current</v>
      </c>
      <c r="P150" s="35">
        <f t="shared" si="12"/>
        <v>3.7932971736111547E-4</v>
      </c>
      <c r="Q150" s="36">
        <f t="shared" si="13"/>
        <v>0.5</v>
      </c>
      <c r="R150" s="34" t="str">
        <f t="shared" si="14"/>
        <v>2M-5M</v>
      </c>
    </row>
    <row r="151" spans="4:18">
      <c r="D151" s="25" t="s">
        <v>451</v>
      </c>
      <c r="E151" s="25" t="s">
        <v>452</v>
      </c>
      <c r="F151" s="25" t="s">
        <v>453</v>
      </c>
      <c r="G151" s="26">
        <v>45736</v>
      </c>
      <c r="H151" s="26">
        <v>46056</v>
      </c>
      <c r="I151" s="37">
        <v>3853554</v>
      </c>
      <c r="J151" s="25" t="s">
        <v>133</v>
      </c>
      <c r="K151" s="25" t="s">
        <v>125</v>
      </c>
      <c r="L151" s="25" t="s">
        <v>110</v>
      </c>
      <c r="M151" s="37">
        <v>23121324</v>
      </c>
      <c r="N151" s="34">
        <f t="shared" ca="1" si="10"/>
        <v>27</v>
      </c>
      <c r="O151" s="34" t="str">
        <f t="shared" ca="1" si="11"/>
        <v>1-30</v>
      </c>
      <c r="P151" s="35">
        <f t="shared" si="12"/>
        <v>6.1807307684258873E-4</v>
      </c>
      <c r="Q151" s="36">
        <f t="shared" si="13"/>
        <v>0.16666666666666666</v>
      </c>
      <c r="R151" s="34" t="str">
        <f t="shared" si="14"/>
        <v>2M-5M</v>
      </c>
    </row>
    <row r="152" spans="4:18">
      <c r="D152" s="25" t="s">
        <v>454</v>
      </c>
      <c r="E152" s="25" t="s">
        <v>455</v>
      </c>
      <c r="F152" s="25" t="s">
        <v>456</v>
      </c>
      <c r="G152" s="26">
        <v>45973</v>
      </c>
      <c r="H152" s="26">
        <v>46080</v>
      </c>
      <c r="I152" s="37">
        <v>5646792</v>
      </c>
      <c r="J152" s="25" t="s">
        <v>52</v>
      </c>
      <c r="K152" s="25" t="s">
        <v>56</v>
      </c>
      <c r="L152" s="25" t="s">
        <v>90</v>
      </c>
      <c r="M152" s="37">
        <v>50821128</v>
      </c>
      <c r="N152" s="34">
        <f t="shared" ca="1" si="10"/>
        <v>3</v>
      </c>
      <c r="O152" s="34" t="str">
        <f t="shared" ca="1" si="11"/>
        <v>1-30</v>
      </c>
      <c r="P152" s="35">
        <f t="shared" si="12"/>
        <v>9.056912413138924E-4</v>
      </c>
      <c r="Q152" s="36">
        <f t="shared" si="13"/>
        <v>0.1111111111111111</v>
      </c>
      <c r="R152" s="34" t="str">
        <f t="shared" si="14"/>
        <v>&gt;5M</v>
      </c>
    </row>
    <row r="153" spans="4:18">
      <c r="D153" s="25" t="s">
        <v>226</v>
      </c>
      <c r="E153" s="25" t="s">
        <v>227</v>
      </c>
      <c r="F153" s="25" t="s">
        <v>457</v>
      </c>
      <c r="G153" s="26">
        <v>46023</v>
      </c>
      <c r="H153" s="26">
        <v>45988</v>
      </c>
      <c r="I153" s="37">
        <v>5130814</v>
      </c>
      <c r="J153" s="25" t="s">
        <v>52</v>
      </c>
      <c r="K153" s="25" t="s">
        <v>109</v>
      </c>
      <c r="L153" s="25" t="s">
        <v>110</v>
      </c>
      <c r="M153" s="37">
        <v>15392442</v>
      </c>
      <c r="N153" s="34">
        <f t="shared" ca="1" si="10"/>
        <v>95</v>
      </c>
      <c r="O153" s="34" t="str">
        <f t="shared" ca="1" si="11"/>
        <v>90+</v>
      </c>
      <c r="P153" s="35">
        <f t="shared" si="12"/>
        <v>8.2293332224928724E-4</v>
      </c>
      <c r="Q153" s="36">
        <f t="shared" si="13"/>
        <v>0.33333333333333331</v>
      </c>
      <c r="R153" s="34" t="str">
        <f t="shared" si="14"/>
        <v>&gt;5M</v>
      </c>
    </row>
    <row r="154" spans="4:18">
      <c r="D154" s="25" t="s">
        <v>103</v>
      </c>
      <c r="E154" s="25" t="s">
        <v>104</v>
      </c>
      <c r="F154" s="25" t="s">
        <v>458</v>
      </c>
      <c r="G154" s="26">
        <v>45828</v>
      </c>
      <c r="H154" s="26">
        <v>46099</v>
      </c>
      <c r="I154" s="37">
        <v>1123137</v>
      </c>
      <c r="J154" s="25" t="s">
        <v>52</v>
      </c>
      <c r="K154" s="25" t="s">
        <v>125</v>
      </c>
      <c r="L154" s="25" t="s">
        <v>138</v>
      </c>
      <c r="M154" s="37">
        <v>3369411</v>
      </c>
      <c r="N154" s="34">
        <f t="shared" ca="1" si="10"/>
        <v>0</v>
      </c>
      <c r="O154" s="34" t="str">
        <f t="shared" ca="1" si="11"/>
        <v>Current</v>
      </c>
      <c r="P154" s="35">
        <f t="shared" si="12"/>
        <v>1.8014039541310554E-4</v>
      </c>
      <c r="Q154" s="36">
        <f t="shared" si="13"/>
        <v>0.33333333333333331</v>
      </c>
      <c r="R154" s="34" t="str">
        <f t="shared" si="14"/>
        <v>500K-2M</v>
      </c>
    </row>
    <row r="155" spans="4:18">
      <c r="D155" s="25" t="s">
        <v>459</v>
      </c>
      <c r="E155" s="25" t="s">
        <v>460</v>
      </c>
      <c r="F155" s="25" t="s">
        <v>461</v>
      </c>
      <c r="G155" s="26">
        <v>45756</v>
      </c>
      <c r="H155" s="26">
        <v>46057</v>
      </c>
      <c r="I155" s="37">
        <v>235948</v>
      </c>
      <c r="J155" s="25" t="s">
        <v>52</v>
      </c>
      <c r="K155" s="25" t="s">
        <v>125</v>
      </c>
      <c r="L155" s="25" t="s">
        <v>121</v>
      </c>
      <c r="M155" s="37">
        <v>2359480</v>
      </c>
      <c r="N155" s="34">
        <f t="shared" ca="1" si="10"/>
        <v>26</v>
      </c>
      <c r="O155" s="34" t="str">
        <f t="shared" ca="1" si="11"/>
        <v>1-30</v>
      </c>
      <c r="P155" s="35">
        <f t="shared" si="12"/>
        <v>3.7843794672360918E-5</v>
      </c>
      <c r="Q155" s="36">
        <f t="shared" si="13"/>
        <v>0.1</v>
      </c>
      <c r="R155" s="34" t="str">
        <f t="shared" si="14"/>
        <v>&lt;500K</v>
      </c>
    </row>
    <row r="156" spans="4:18">
      <c r="D156" s="25" t="s">
        <v>462</v>
      </c>
      <c r="E156" s="25" t="s">
        <v>463</v>
      </c>
      <c r="F156" s="25" t="s">
        <v>464</v>
      </c>
      <c r="G156" s="26">
        <v>45773</v>
      </c>
      <c r="H156" s="26">
        <v>46021</v>
      </c>
      <c r="I156" s="37">
        <v>7915744</v>
      </c>
      <c r="J156" s="25" t="s">
        <v>133</v>
      </c>
      <c r="K156" s="25" t="s">
        <v>134</v>
      </c>
      <c r="L156" s="25" t="s">
        <v>121</v>
      </c>
      <c r="M156" s="37">
        <v>31662976</v>
      </c>
      <c r="N156" s="34">
        <f t="shared" ca="1" si="10"/>
        <v>62</v>
      </c>
      <c r="O156" s="34" t="str">
        <f t="shared" ca="1" si="11"/>
        <v>61-90</v>
      </c>
      <c r="P156" s="35">
        <f t="shared" si="12"/>
        <v>1.2696093656863925E-3</v>
      </c>
      <c r="Q156" s="36">
        <f t="shared" si="13"/>
        <v>0.25</v>
      </c>
      <c r="R156" s="34" t="str">
        <f t="shared" si="14"/>
        <v>&gt;5M</v>
      </c>
    </row>
    <row r="157" spans="4:18">
      <c r="D157" s="25" t="s">
        <v>465</v>
      </c>
      <c r="E157" s="25" t="s">
        <v>466</v>
      </c>
      <c r="F157" s="25" t="s">
        <v>467</v>
      </c>
      <c r="G157" s="26">
        <v>45987</v>
      </c>
      <c r="H157" s="26">
        <v>45980</v>
      </c>
      <c r="I157" s="37">
        <v>171173</v>
      </c>
      <c r="J157" s="25" t="s">
        <v>99</v>
      </c>
      <c r="K157" s="25" t="s">
        <v>134</v>
      </c>
      <c r="L157" s="25" t="s">
        <v>90</v>
      </c>
      <c r="M157" s="37">
        <v>342346</v>
      </c>
      <c r="N157" s="34">
        <f t="shared" ca="1" si="10"/>
        <v>103</v>
      </c>
      <c r="O157" s="34" t="str">
        <f t="shared" ca="1" si="11"/>
        <v>90+</v>
      </c>
      <c r="P157" s="35">
        <f t="shared" si="12"/>
        <v>2.7454506355010579E-5</v>
      </c>
      <c r="Q157" s="36">
        <f t="shared" si="13"/>
        <v>0.5</v>
      </c>
      <c r="R157" s="34" t="str">
        <f t="shared" si="14"/>
        <v>&lt;500K</v>
      </c>
    </row>
    <row r="158" spans="4:18">
      <c r="D158" s="25" t="s">
        <v>468</v>
      </c>
      <c r="E158" s="25" t="s">
        <v>469</v>
      </c>
      <c r="F158" s="25" t="s">
        <v>470</v>
      </c>
      <c r="G158" s="26">
        <v>45838</v>
      </c>
      <c r="H158" s="26">
        <v>45923</v>
      </c>
      <c r="I158" s="37">
        <v>6530464</v>
      </c>
      <c r="J158" s="25" t="s">
        <v>52</v>
      </c>
      <c r="K158" s="25" t="s">
        <v>125</v>
      </c>
      <c r="L158" s="25" t="s">
        <v>121</v>
      </c>
      <c r="M158" s="37">
        <v>32652320</v>
      </c>
      <c r="N158" s="34">
        <f t="shared" ca="1" si="10"/>
        <v>160</v>
      </c>
      <c r="O158" s="34" t="str">
        <f t="shared" ca="1" si="11"/>
        <v>90+</v>
      </c>
      <c r="P158" s="35">
        <f t="shared" si="12"/>
        <v>1.0474237490092936E-3</v>
      </c>
      <c r="Q158" s="36">
        <f t="shared" si="13"/>
        <v>0.2</v>
      </c>
      <c r="R158" s="34" t="str">
        <f t="shared" si="14"/>
        <v>&gt;5M</v>
      </c>
    </row>
    <row r="159" spans="4:18">
      <c r="D159" s="25" t="s">
        <v>471</v>
      </c>
      <c r="E159" s="25" t="s">
        <v>472</v>
      </c>
      <c r="F159" s="25" t="s">
        <v>473</v>
      </c>
      <c r="G159" s="26">
        <v>45886</v>
      </c>
      <c r="H159" s="26">
        <v>46002</v>
      </c>
      <c r="I159" s="37">
        <v>309660</v>
      </c>
      <c r="J159" s="25" t="s">
        <v>52</v>
      </c>
      <c r="K159" s="25" t="s">
        <v>134</v>
      </c>
      <c r="L159" s="25" t="s">
        <v>95</v>
      </c>
      <c r="M159" s="37">
        <v>619320</v>
      </c>
      <c r="N159" s="34">
        <f t="shared" ca="1" si="10"/>
        <v>81</v>
      </c>
      <c r="O159" s="34" t="str">
        <f t="shared" ca="1" si="11"/>
        <v>61-90</v>
      </c>
      <c r="P159" s="35">
        <f t="shared" si="12"/>
        <v>4.9666492016220872E-5</v>
      </c>
      <c r="Q159" s="36">
        <f t="shared" si="13"/>
        <v>0.5</v>
      </c>
      <c r="R159" s="34" t="str">
        <f t="shared" si="14"/>
        <v>&lt;500K</v>
      </c>
    </row>
    <row r="160" spans="4:18">
      <c r="D160" s="25" t="s">
        <v>474</v>
      </c>
      <c r="E160" s="25" t="s">
        <v>475</v>
      </c>
      <c r="F160" s="25" t="s">
        <v>476</v>
      </c>
      <c r="G160" s="26">
        <v>45861</v>
      </c>
      <c r="H160" s="26">
        <v>46127</v>
      </c>
      <c r="I160" s="37">
        <v>7939224</v>
      </c>
      <c r="J160" s="25" t="s">
        <v>99</v>
      </c>
      <c r="K160" s="25" t="s">
        <v>94</v>
      </c>
      <c r="L160" s="25" t="s">
        <v>90</v>
      </c>
      <c r="M160" s="37">
        <v>39696120</v>
      </c>
      <c r="N160" s="34">
        <f t="shared" ca="1" si="10"/>
        <v>0</v>
      </c>
      <c r="O160" s="34" t="str">
        <f t="shared" ca="1" si="11"/>
        <v>Current</v>
      </c>
      <c r="P160" s="35">
        <f t="shared" si="12"/>
        <v>1.2733753323354298E-3</v>
      </c>
      <c r="Q160" s="36">
        <f t="shared" si="13"/>
        <v>0.2</v>
      </c>
      <c r="R160" s="34" t="str">
        <f t="shared" si="14"/>
        <v>&gt;5M</v>
      </c>
    </row>
    <row r="161" spans="4:18">
      <c r="D161" s="25" t="s">
        <v>477</v>
      </c>
      <c r="E161" s="25" t="s">
        <v>478</v>
      </c>
      <c r="F161" s="25" t="s">
        <v>479</v>
      </c>
      <c r="G161" s="26">
        <v>45779</v>
      </c>
      <c r="H161" s="26">
        <v>45928</v>
      </c>
      <c r="I161" s="37">
        <v>4614196</v>
      </c>
      <c r="J161" s="25" t="s">
        <v>99</v>
      </c>
      <c r="K161" s="25" t="s">
        <v>125</v>
      </c>
      <c r="L161" s="25" t="s">
        <v>110</v>
      </c>
      <c r="M161" s="37">
        <v>41527764</v>
      </c>
      <c r="N161" s="34">
        <f t="shared" ca="1" si="10"/>
        <v>155</v>
      </c>
      <c r="O161" s="34" t="str">
        <f t="shared" ca="1" si="11"/>
        <v>90+</v>
      </c>
      <c r="P161" s="35">
        <f t="shared" si="12"/>
        <v>7.400727533271275E-4</v>
      </c>
      <c r="Q161" s="36">
        <f t="shared" si="13"/>
        <v>0.1111111111111111</v>
      </c>
      <c r="R161" s="34" t="str">
        <f t="shared" si="14"/>
        <v>2M-5M</v>
      </c>
    </row>
    <row r="162" spans="4:18">
      <c r="D162" s="25" t="s">
        <v>480</v>
      </c>
      <c r="E162" s="25" t="s">
        <v>481</v>
      </c>
      <c r="F162" s="25" t="s">
        <v>482</v>
      </c>
      <c r="G162" s="26">
        <v>46027</v>
      </c>
      <c r="H162" s="26">
        <v>45973</v>
      </c>
      <c r="I162" s="37">
        <v>299150</v>
      </c>
      <c r="J162" s="25" t="s">
        <v>52</v>
      </c>
      <c r="K162" s="25" t="s">
        <v>94</v>
      </c>
      <c r="L162" s="25" t="s">
        <v>121</v>
      </c>
      <c r="M162" s="37">
        <v>598300</v>
      </c>
      <c r="N162" s="34">
        <f t="shared" ca="1" si="10"/>
        <v>110</v>
      </c>
      <c r="O162" s="34" t="str">
        <f t="shared" ca="1" si="11"/>
        <v>90+</v>
      </c>
      <c r="P162" s="35">
        <f t="shared" si="12"/>
        <v>4.7980788886690156E-5</v>
      </c>
      <c r="Q162" s="36">
        <f t="shared" si="13"/>
        <v>0.5</v>
      </c>
      <c r="R162" s="34" t="str">
        <f t="shared" si="14"/>
        <v>&lt;500K</v>
      </c>
    </row>
    <row r="163" spans="4:18">
      <c r="D163" s="25" t="s">
        <v>483</v>
      </c>
      <c r="E163" s="25" t="s">
        <v>484</v>
      </c>
      <c r="F163" s="25" t="s">
        <v>485</v>
      </c>
      <c r="G163" s="26">
        <v>45984</v>
      </c>
      <c r="H163" s="26">
        <v>45968</v>
      </c>
      <c r="I163" s="37">
        <v>7420739</v>
      </c>
      <c r="J163" s="25" t="s">
        <v>52</v>
      </c>
      <c r="K163" s="25" t="s">
        <v>134</v>
      </c>
      <c r="L163" s="25" t="s">
        <v>138</v>
      </c>
      <c r="M163" s="37">
        <v>22262217</v>
      </c>
      <c r="N163" s="34">
        <f t="shared" ca="1" si="10"/>
        <v>115</v>
      </c>
      <c r="O163" s="34" t="str">
        <f t="shared" ca="1" si="11"/>
        <v>90+</v>
      </c>
      <c r="P163" s="35">
        <f t="shared" si="12"/>
        <v>1.1902153145319347E-3</v>
      </c>
      <c r="Q163" s="36">
        <f t="shared" si="13"/>
        <v>0.33333333333333331</v>
      </c>
      <c r="R163" s="34" t="str">
        <f t="shared" si="14"/>
        <v>&gt;5M</v>
      </c>
    </row>
    <row r="164" spans="4:18">
      <c r="D164" s="25" t="s">
        <v>215</v>
      </c>
      <c r="E164" s="25" t="s">
        <v>216</v>
      </c>
      <c r="F164" s="25" t="s">
        <v>486</v>
      </c>
      <c r="G164" s="26">
        <v>45951</v>
      </c>
      <c r="H164" s="26">
        <v>46097</v>
      </c>
      <c r="I164" s="37">
        <v>4074487</v>
      </c>
      <c r="J164" s="25" t="s">
        <v>52</v>
      </c>
      <c r="K164" s="25" t="s">
        <v>89</v>
      </c>
      <c r="L164" s="25" t="s">
        <v>110</v>
      </c>
      <c r="M164" s="37">
        <v>40744870</v>
      </c>
      <c r="N164" s="34">
        <f t="shared" ca="1" si="10"/>
        <v>0</v>
      </c>
      <c r="O164" s="34" t="str">
        <f t="shared" ca="1" si="11"/>
        <v>Current</v>
      </c>
      <c r="P164" s="35">
        <f t="shared" si="12"/>
        <v>6.5350860962247546E-4</v>
      </c>
      <c r="Q164" s="36">
        <f t="shared" si="13"/>
        <v>0.1</v>
      </c>
      <c r="R164" s="34" t="str">
        <f t="shared" si="14"/>
        <v>2M-5M</v>
      </c>
    </row>
    <row r="165" spans="4:18">
      <c r="D165" s="25" t="s">
        <v>487</v>
      </c>
      <c r="E165" s="25" t="s">
        <v>488</v>
      </c>
      <c r="F165" s="25" t="s">
        <v>489</v>
      </c>
      <c r="G165" s="26">
        <v>46037</v>
      </c>
      <c r="H165" s="26">
        <v>46043</v>
      </c>
      <c r="I165" s="37">
        <v>3096484</v>
      </c>
      <c r="J165" s="25" t="s">
        <v>99</v>
      </c>
      <c r="K165" s="25" t="s">
        <v>109</v>
      </c>
      <c r="L165" s="25" t="s">
        <v>95</v>
      </c>
      <c r="M165" s="37">
        <v>30964840</v>
      </c>
      <c r="N165" s="34">
        <f t="shared" ca="1" si="10"/>
        <v>40</v>
      </c>
      <c r="O165" s="34" t="str">
        <f t="shared" ca="1" si="11"/>
        <v>31-60</v>
      </c>
      <c r="P165" s="35">
        <f t="shared" si="12"/>
        <v>4.9664631487552691E-4</v>
      </c>
      <c r="Q165" s="36">
        <f t="shared" si="13"/>
        <v>0.1</v>
      </c>
      <c r="R165" s="34" t="str">
        <f t="shared" si="14"/>
        <v>2M-5M</v>
      </c>
    </row>
    <row r="166" spans="4:18">
      <c r="D166" s="25" t="s">
        <v>490</v>
      </c>
      <c r="E166" s="25" t="s">
        <v>491</v>
      </c>
      <c r="F166" s="25" t="s">
        <v>492</v>
      </c>
      <c r="G166" s="26">
        <v>45790</v>
      </c>
      <c r="H166" s="26">
        <v>46010</v>
      </c>
      <c r="I166" s="37">
        <v>4275282</v>
      </c>
      <c r="J166" s="25" t="s">
        <v>99</v>
      </c>
      <c r="K166" s="25" t="s">
        <v>134</v>
      </c>
      <c r="L166" s="25" t="s">
        <v>90</v>
      </c>
      <c r="M166" s="37">
        <v>38477538</v>
      </c>
      <c r="N166" s="34">
        <f t="shared" ca="1" si="10"/>
        <v>73</v>
      </c>
      <c r="O166" s="34" t="str">
        <f t="shared" ca="1" si="11"/>
        <v>61-90</v>
      </c>
      <c r="P166" s="35">
        <f t="shared" si="12"/>
        <v>6.857142004782433E-4</v>
      </c>
      <c r="Q166" s="36">
        <f t="shared" si="13"/>
        <v>0.1111111111111111</v>
      </c>
      <c r="R166" s="34" t="str">
        <f t="shared" si="14"/>
        <v>2M-5M</v>
      </c>
    </row>
    <row r="167" spans="4:18">
      <c r="D167" s="25" t="s">
        <v>103</v>
      </c>
      <c r="E167" s="25" t="s">
        <v>104</v>
      </c>
      <c r="F167" s="25" t="s">
        <v>493</v>
      </c>
      <c r="G167" s="26">
        <v>45779</v>
      </c>
      <c r="H167" s="26">
        <v>45959</v>
      </c>
      <c r="I167" s="37">
        <v>6543835</v>
      </c>
      <c r="J167" s="25" t="s">
        <v>52</v>
      </c>
      <c r="K167" s="25" t="s">
        <v>109</v>
      </c>
      <c r="L167" s="25" t="s">
        <v>138</v>
      </c>
      <c r="M167" s="37">
        <v>45806845</v>
      </c>
      <c r="N167" s="34">
        <f t="shared" ca="1" si="10"/>
        <v>124</v>
      </c>
      <c r="O167" s="34" t="str">
        <f t="shared" ca="1" si="11"/>
        <v>90+</v>
      </c>
      <c r="P167" s="35">
        <f t="shared" si="12"/>
        <v>1.0495683290801742E-3</v>
      </c>
      <c r="Q167" s="36">
        <f t="shared" si="13"/>
        <v>0.14285714285714285</v>
      </c>
      <c r="R167" s="34" t="str">
        <f t="shared" si="14"/>
        <v>&gt;5M</v>
      </c>
    </row>
    <row r="168" spans="4:18">
      <c r="D168" s="25" t="s">
        <v>487</v>
      </c>
      <c r="E168" s="25" t="s">
        <v>488</v>
      </c>
      <c r="F168" s="25" t="s">
        <v>494</v>
      </c>
      <c r="G168" s="26">
        <v>45900</v>
      </c>
      <c r="H168" s="26">
        <v>45919</v>
      </c>
      <c r="I168" s="37">
        <v>6529021</v>
      </c>
      <c r="J168" s="25" t="s">
        <v>99</v>
      </c>
      <c r="K168" s="25" t="s">
        <v>125</v>
      </c>
      <c r="L168" s="25" t="s">
        <v>114</v>
      </c>
      <c r="M168" s="37">
        <v>13058042</v>
      </c>
      <c r="N168" s="34">
        <f t="shared" ca="1" si="10"/>
        <v>164</v>
      </c>
      <c r="O168" s="34" t="str">
        <f t="shared" ca="1" si="11"/>
        <v>90+</v>
      </c>
      <c r="P168" s="35">
        <f t="shared" si="12"/>
        <v>1.0471923056585882E-3</v>
      </c>
      <c r="Q168" s="36">
        <f t="shared" si="13"/>
        <v>0.5</v>
      </c>
      <c r="R168" s="34" t="str">
        <f t="shared" si="14"/>
        <v>&gt;5M</v>
      </c>
    </row>
    <row r="169" spans="4:18">
      <c r="D169" s="25" t="s">
        <v>495</v>
      </c>
      <c r="E169" s="25" t="s">
        <v>496</v>
      </c>
      <c r="F169" s="25" t="s">
        <v>497</v>
      </c>
      <c r="G169" s="26">
        <v>45992</v>
      </c>
      <c r="H169" s="26">
        <v>46094</v>
      </c>
      <c r="I169" s="37">
        <v>6298411</v>
      </c>
      <c r="J169" s="25" t="s">
        <v>133</v>
      </c>
      <c r="K169" s="25" t="s">
        <v>56</v>
      </c>
      <c r="L169" s="25" t="s">
        <v>90</v>
      </c>
      <c r="M169" s="37">
        <v>62984110</v>
      </c>
      <c r="N169" s="34">
        <f t="shared" ca="1" si="10"/>
        <v>0</v>
      </c>
      <c r="O169" s="34" t="str">
        <f t="shared" ca="1" si="11"/>
        <v>Current</v>
      </c>
      <c r="P169" s="35">
        <f t="shared" si="12"/>
        <v>1.0102046749543942E-3</v>
      </c>
      <c r="Q169" s="36">
        <f t="shared" si="13"/>
        <v>0.1</v>
      </c>
      <c r="R169" s="34" t="str">
        <f t="shared" si="14"/>
        <v>&gt;5M</v>
      </c>
    </row>
    <row r="170" spans="4:18">
      <c r="D170" s="25" t="s">
        <v>498</v>
      </c>
      <c r="E170" s="25" t="s">
        <v>499</v>
      </c>
      <c r="F170" s="25" t="s">
        <v>500</v>
      </c>
      <c r="G170" s="26">
        <v>45746</v>
      </c>
      <c r="H170" s="26">
        <v>45922</v>
      </c>
      <c r="I170" s="37">
        <v>5256173</v>
      </c>
      <c r="J170" s="25" t="s">
        <v>52</v>
      </c>
      <c r="K170" s="25" t="s">
        <v>125</v>
      </c>
      <c r="L170" s="25" t="s">
        <v>138</v>
      </c>
      <c r="M170" s="37">
        <v>10512346</v>
      </c>
      <c r="N170" s="34">
        <f t="shared" ca="1" si="10"/>
        <v>161</v>
      </c>
      <c r="O170" s="34" t="str">
        <f t="shared" ca="1" si="11"/>
        <v>90+</v>
      </c>
      <c r="P170" s="35">
        <f t="shared" si="12"/>
        <v>8.430397027074072E-4</v>
      </c>
      <c r="Q170" s="36">
        <f t="shared" si="13"/>
        <v>0.5</v>
      </c>
      <c r="R170" s="34" t="str">
        <f t="shared" si="14"/>
        <v>&gt;5M</v>
      </c>
    </row>
    <row r="171" spans="4:18">
      <c r="D171" s="25" t="s">
        <v>165</v>
      </c>
      <c r="E171" s="25" t="s">
        <v>166</v>
      </c>
      <c r="F171" s="25" t="s">
        <v>501</v>
      </c>
      <c r="G171" s="26">
        <v>46030</v>
      </c>
      <c r="H171" s="26">
        <v>45950</v>
      </c>
      <c r="I171" s="37">
        <v>3087591</v>
      </c>
      <c r="J171" s="25" t="s">
        <v>52</v>
      </c>
      <c r="K171" s="25" t="s">
        <v>56</v>
      </c>
      <c r="L171" s="25" t="s">
        <v>114</v>
      </c>
      <c r="M171" s="37">
        <v>30875910</v>
      </c>
      <c r="N171" s="34">
        <f t="shared" ca="1" si="10"/>
        <v>133</v>
      </c>
      <c r="O171" s="34" t="str">
        <f t="shared" ca="1" si="11"/>
        <v>90+</v>
      </c>
      <c r="P171" s="35">
        <f t="shared" si="12"/>
        <v>4.9521996302672421E-4</v>
      </c>
      <c r="Q171" s="36">
        <f t="shared" si="13"/>
        <v>0.1</v>
      </c>
      <c r="R171" s="34" t="str">
        <f t="shared" si="14"/>
        <v>2M-5M</v>
      </c>
    </row>
    <row r="172" spans="4:18">
      <c r="D172" s="25" t="s">
        <v>502</v>
      </c>
      <c r="E172" s="25" t="s">
        <v>503</v>
      </c>
      <c r="F172" s="25" t="s">
        <v>504</v>
      </c>
      <c r="G172" s="26">
        <v>45738</v>
      </c>
      <c r="H172" s="26">
        <v>46021</v>
      </c>
      <c r="I172" s="37">
        <v>1836032</v>
      </c>
      <c r="J172" s="25" t="s">
        <v>99</v>
      </c>
      <c r="K172" s="25" t="s">
        <v>56</v>
      </c>
      <c r="L172" s="25" t="s">
        <v>121</v>
      </c>
      <c r="M172" s="37">
        <v>14688256</v>
      </c>
      <c r="N172" s="34">
        <f t="shared" ca="1" si="10"/>
        <v>62</v>
      </c>
      <c r="O172" s="34" t="str">
        <f t="shared" ca="1" si="11"/>
        <v>61-90</v>
      </c>
      <c r="P172" s="35">
        <f t="shared" si="12"/>
        <v>2.9448191135285812E-4</v>
      </c>
      <c r="Q172" s="36">
        <f t="shared" si="13"/>
        <v>0.125</v>
      </c>
      <c r="R172" s="34" t="str">
        <f t="shared" si="14"/>
        <v>500K-2M</v>
      </c>
    </row>
    <row r="173" spans="4:18">
      <c r="D173" s="25" t="s">
        <v>229</v>
      </c>
      <c r="E173" s="25" t="s">
        <v>230</v>
      </c>
      <c r="F173" s="25" t="s">
        <v>505</v>
      </c>
      <c r="G173" s="26">
        <v>45903</v>
      </c>
      <c r="H173" s="26">
        <v>46118</v>
      </c>
      <c r="I173" s="37">
        <v>3987991</v>
      </c>
      <c r="J173" s="25" t="s">
        <v>133</v>
      </c>
      <c r="K173" s="25" t="s">
        <v>125</v>
      </c>
      <c r="L173" s="25" t="s">
        <v>95</v>
      </c>
      <c r="M173" s="37">
        <v>15951964</v>
      </c>
      <c r="N173" s="34">
        <f t="shared" ca="1" si="10"/>
        <v>0</v>
      </c>
      <c r="O173" s="34" t="str">
        <f t="shared" ca="1" si="11"/>
        <v>Current</v>
      </c>
      <c r="P173" s="35">
        <f t="shared" si="12"/>
        <v>6.3963548137396082E-4</v>
      </c>
      <c r="Q173" s="36">
        <f t="shared" si="13"/>
        <v>0.25</v>
      </c>
      <c r="R173" s="34" t="str">
        <f t="shared" si="14"/>
        <v>2M-5M</v>
      </c>
    </row>
    <row r="174" spans="4:18">
      <c r="D174" s="25" t="s">
        <v>506</v>
      </c>
      <c r="E174" s="25" t="s">
        <v>507</v>
      </c>
      <c r="F174" s="25" t="s">
        <v>508</v>
      </c>
      <c r="G174" s="26">
        <v>45997</v>
      </c>
      <c r="H174" s="26">
        <v>46003</v>
      </c>
      <c r="I174" s="37">
        <v>5235508</v>
      </c>
      <c r="J174" s="25" t="s">
        <v>99</v>
      </c>
      <c r="K174" s="25" t="s">
        <v>89</v>
      </c>
      <c r="L174" s="25" t="s">
        <v>95</v>
      </c>
      <c r="M174" s="37">
        <v>41884064</v>
      </c>
      <c r="N174" s="34">
        <f t="shared" ca="1" si="10"/>
        <v>80</v>
      </c>
      <c r="O174" s="34" t="str">
        <f t="shared" ca="1" si="11"/>
        <v>61-90</v>
      </c>
      <c r="P174" s="35">
        <f t="shared" si="12"/>
        <v>8.3972523504120822E-4</v>
      </c>
      <c r="Q174" s="36">
        <f t="shared" si="13"/>
        <v>0.125</v>
      </c>
      <c r="R174" s="34" t="str">
        <f t="shared" si="14"/>
        <v>&gt;5M</v>
      </c>
    </row>
    <row r="175" spans="4:18">
      <c r="D175" s="25" t="s">
        <v>509</v>
      </c>
      <c r="E175" s="25" t="s">
        <v>510</v>
      </c>
      <c r="F175" s="25" t="s">
        <v>511</v>
      </c>
      <c r="G175" s="26">
        <v>45767</v>
      </c>
      <c r="H175" s="26">
        <v>46101</v>
      </c>
      <c r="I175" s="37">
        <v>7044008</v>
      </c>
      <c r="J175" s="25" t="s">
        <v>52</v>
      </c>
      <c r="K175" s="25" t="s">
        <v>56</v>
      </c>
      <c r="L175" s="25" t="s">
        <v>95</v>
      </c>
      <c r="M175" s="37">
        <v>49308056</v>
      </c>
      <c r="N175" s="34">
        <f t="shared" ca="1" si="10"/>
        <v>0</v>
      </c>
      <c r="O175" s="34" t="str">
        <f t="shared" ca="1" si="11"/>
        <v>Current</v>
      </c>
      <c r="P175" s="35">
        <f t="shared" si="12"/>
        <v>1.1297912778343859E-3</v>
      </c>
      <c r="Q175" s="36">
        <f t="shared" si="13"/>
        <v>0.14285714285714285</v>
      </c>
      <c r="R175" s="34" t="str">
        <f t="shared" si="14"/>
        <v>&gt;5M</v>
      </c>
    </row>
    <row r="176" spans="4:18">
      <c r="D176" s="25" t="s">
        <v>512</v>
      </c>
      <c r="E176" s="25" t="s">
        <v>513</v>
      </c>
      <c r="F176" s="25" t="s">
        <v>514</v>
      </c>
      <c r="G176" s="26">
        <v>45849</v>
      </c>
      <c r="H176" s="26">
        <v>45913</v>
      </c>
      <c r="I176" s="37">
        <v>238701</v>
      </c>
      <c r="J176" s="25" t="s">
        <v>52</v>
      </c>
      <c r="K176" s="25" t="s">
        <v>56</v>
      </c>
      <c r="L176" s="25" t="s">
        <v>95</v>
      </c>
      <c r="M176" s="37">
        <v>2148309</v>
      </c>
      <c r="N176" s="34">
        <f t="shared" ca="1" si="10"/>
        <v>170</v>
      </c>
      <c r="O176" s="34" t="str">
        <f t="shared" ca="1" si="11"/>
        <v>90+</v>
      </c>
      <c r="P176" s="35">
        <f t="shared" si="12"/>
        <v>3.8285349450248466E-5</v>
      </c>
      <c r="Q176" s="36">
        <f t="shared" si="13"/>
        <v>0.1111111111111111</v>
      </c>
      <c r="R176" s="34" t="str">
        <f t="shared" si="14"/>
        <v>&lt;500K</v>
      </c>
    </row>
    <row r="177" spans="4:18">
      <c r="D177" s="25" t="s">
        <v>300</v>
      </c>
      <c r="E177" s="25" t="s">
        <v>301</v>
      </c>
      <c r="F177" s="25" t="s">
        <v>515</v>
      </c>
      <c r="G177" s="26">
        <v>45755</v>
      </c>
      <c r="H177" s="26">
        <v>45903</v>
      </c>
      <c r="I177" s="37">
        <v>544056</v>
      </c>
      <c r="J177" s="25" t="s">
        <v>52</v>
      </c>
      <c r="K177" s="25" t="s">
        <v>94</v>
      </c>
      <c r="L177" s="25" t="s">
        <v>95</v>
      </c>
      <c r="M177" s="37">
        <v>1632168</v>
      </c>
      <c r="N177" s="34">
        <f t="shared" ca="1" si="10"/>
        <v>180</v>
      </c>
      <c r="O177" s="34" t="str">
        <f t="shared" ca="1" si="11"/>
        <v>90+</v>
      </c>
      <c r="P177" s="35">
        <f t="shared" si="12"/>
        <v>8.7261360784011705E-5</v>
      </c>
      <c r="Q177" s="36">
        <f t="shared" si="13"/>
        <v>0.33333333333333331</v>
      </c>
      <c r="R177" s="34" t="str">
        <f t="shared" si="14"/>
        <v>500K-2M</v>
      </c>
    </row>
    <row r="178" spans="4:18">
      <c r="D178" s="25" t="s">
        <v>516</v>
      </c>
      <c r="E178" s="25" t="s">
        <v>517</v>
      </c>
      <c r="F178" s="25" t="s">
        <v>518</v>
      </c>
      <c r="G178" s="26">
        <v>45791</v>
      </c>
      <c r="H178" s="26">
        <v>46050</v>
      </c>
      <c r="I178" s="37">
        <v>7232753</v>
      </c>
      <c r="J178" s="25" t="s">
        <v>52</v>
      </c>
      <c r="K178" s="25" t="s">
        <v>56</v>
      </c>
      <c r="L178" s="25" t="s">
        <v>114</v>
      </c>
      <c r="M178" s="37">
        <v>65094777</v>
      </c>
      <c r="N178" s="34">
        <f t="shared" ca="1" si="10"/>
        <v>33</v>
      </c>
      <c r="O178" s="34" t="str">
        <f t="shared" ca="1" si="11"/>
        <v>31-60</v>
      </c>
      <c r="P178" s="35">
        <f t="shared" si="12"/>
        <v>1.1600641643408822E-3</v>
      </c>
      <c r="Q178" s="36">
        <f t="shared" si="13"/>
        <v>0.1111111111111111</v>
      </c>
      <c r="R178" s="34" t="str">
        <f t="shared" si="14"/>
        <v>&gt;5M</v>
      </c>
    </row>
    <row r="179" spans="4:18">
      <c r="D179" s="25" t="s">
        <v>152</v>
      </c>
      <c r="E179" s="25" t="s">
        <v>153</v>
      </c>
      <c r="F179" s="25" t="s">
        <v>519</v>
      </c>
      <c r="G179" s="26">
        <v>45947</v>
      </c>
      <c r="H179" s="26">
        <v>45917</v>
      </c>
      <c r="I179" s="37">
        <v>3273712</v>
      </c>
      <c r="J179" s="25" t="s">
        <v>99</v>
      </c>
      <c r="K179" s="25" t="s">
        <v>56</v>
      </c>
      <c r="L179" s="25" t="s">
        <v>138</v>
      </c>
      <c r="M179" s="37">
        <v>13094848</v>
      </c>
      <c r="N179" s="34">
        <f t="shared" ca="1" si="10"/>
        <v>166</v>
      </c>
      <c r="O179" s="34" t="str">
        <f t="shared" ca="1" si="11"/>
        <v>90+</v>
      </c>
      <c r="P179" s="35">
        <f t="shared" si="12"/>
        <v>5.2507198511724624E-4</v>
      </c>
      <c r="Q179" s="36">
        <f t="shared" si="13"/>
        <v>0.25</v>
      </c>
      <c r="R179" s="34" t="str">
        <f t="shared" si="14"/>
        <v>2M-5M</v>
      </c>
    </row>
    <row r="180" spans="4:18">
      <c r="D180" s="25" t="s">
        <v>520</v>
      </c>
      <c r="E180" s="25" t="s">
        <v>521</v>
      </c>
      <c r="F180" s="25" t="s">
        <v>522</v>
      </c>
      <c r="G180" s="26">
        <v>45787</v>
      </c>
      <c r="H180" s="26">
        <v>45929</v>
      </c>
      <c r="I180" s="37">
        <v>2398413</v>
      </c>
      <c r="J180" s="25" t="s">
        <v>52</v>
      </c>
      <c r="K180" s="25" t="s">
        <v>89</v>
      </c>
      <c r="L180" s="25" t="s">
        <v>121</v>
      </c>
      <c r="M180" s="37">
        <v>21585717</v>
      </c>
      <c r="N180" s="34">
        <f t="shared" ca="1" si="10"/>
        <v>154</v>
      </c>
      <c r="O180" s="34" t="str">
        <f t="shared" ca="1" si="11"/>
        <v>90+</v>
      </c>
      <c r="P180" s="35">
        <f t="shared" si="12"/>
        <v>3.846824262613846E-4</v>
      </c>
      <c r="Q180" s="36">
        <f t="shared" si="13"/>
        <v>0.1111111111111111</v>
      </c>
      <c r="R180" s="34" t="str">
        <f t="shared" si="14"/>
        <v>2M-5M</v>
      </c>
    </row>
    <row r="181" spans="4:18">
      <c r="D181" s="25" t="s">
        <v>261</v>
      </c>
      <c r="E181" s="25" t="s">
        <v>262</v>
      </c>
      <c r="F181" s="25" t="s">
        <v>523</v>
      </c>
      <c r="G181" s="26">
        <v>45737</v>
      </c>
      <c r="H181" s="26">
        <v>46118</v>
      </c>
      <c r="I181" s="37">
        <v>539089</v>
      </c>
      <c r="J181" s="25" t="s">
        <v>99</v>
      </c>
      <c r="K181" s="25" t="s">
        <v>89</v>
      </c>
      <c r="L181" s="25" t="s">
        <v>138</v>
      </c>
      <c r="M181" s="37">
        <v>1078178</v>
      </c>
      <c r="N181" s="34">
        <f t="shared" ca="1" si="10"/>
        <v>0</v>
      </c>
      <c r="O181" s="34" t="str">
        <f t="shared" ca="1" si="11"/>
        <v>Current</v>
      </c>
      <c r="P181" s="35">
        <f t="shared" si="12"/>
        <v>8.6464701655145949E-5</v>
      </c>
      <c r="Q181" s="36">
        <f t="shared" si="13"/>
        <v>0.5</v>
      </c>
      <c r="R181" s="34" t="str">
        <f t="shared" si="14"/>
        <v>500K-2M</v>
      </c>
    </row>
    <row r="182" spans="4:18">
      <c r="D182" s="25" t="s">
        <v>287</v>
      </c>
      <c r="E182" s="25" t="s">
        <v>288</v>
      </c>
      <c r="F182" s="25" t="s">
        <v>524</v>
      </c>
      <c r="G182" s="26">
        <v>45900</v>
      </c>
      <c r="H182" s="26">
        <v>46001</v>
      </c>
      <c r="I182" s="37">
        <v>7092672</v>
      </c>
      <c r="J182" s="25" t="s">
        <v>133</v>
      </c>
      <c r="K182" s="25" t="s">
        <v>94</v>
      </c>
      <c r="L182" s="25" t="s">
        <v>110</v>
      </c>
      <c r="M182" s="37">
        <v>70926720</v>
      </c>
      <c r="N182" s="34">
        <f t="shared" ca="1" si="10"/>
        <v>82</v>
      </c>
      <c r="O182" s="34" t="str">
        <f t="shared" ca="1" si="11"/>
        <v>61-90</v>
      </c>
      <c r="P182" s="35">
        <f t="shared" si="12"/>
        <v>1.1375965163781998E-3</v>
      </c>
      <c r="Q182" s="36">
        <f t="shared" si="13"/>
        <v>0.1</v>
      </c>
      <c r="R182" s="34" t="str">
        <f t="shared" si="14"/>
        <v>&gt;5M</v>
      </c>
    </row>
    <row r="183" spans="4:18">
      <c r="D183" s="25" t="s">
        <v>177</v>
      </c>
      <c r="E183" s="25" t="s">
        <v>178</v>
      </c>
      <c r="F183" s="25" t="s">
        <v>525</v>
      </c>
      <c r="G183" s="26">
        <v>46018</v>
      </c>
      <c r="H183" s="26">
        <v>45964</v>
      </c>
      <c r="I183" s="37">
        <v>892201</v>
      </c>
      <c r="J183" s="25" t="s">
        <v>133</v>
      </c>
      <c r="K183" s="25" t="s">
        <v>134</v>
      </c>
      <c r="L183" s="25" t="s">
        <v>95</v>
      </c>
      <c r="M183" s="37">
        <v>1784402</v>
      </c>
      <c r="N183" s="34">
        <f t="shared" ca="1" si="10"/>
        <v>119</v>
      </c>
      <c r="O183" s="34" t="str">
        <f t="shared" ca="1" si="11"/>
        <v>90+</v>
      </c>
      <c r="P183" s="35">
        <f t="shared" si="12"/>
        <v>1.4310047743771968E-4</v>
      </c>
      <c r="Q183" s="36">
        <f t="shared" si="13"/>
        <v>0.5</v>
      </c>
      <c r="R183" s="34" t="str">
        <f t="shared" si="14"/>
        <v>500K-2M</v>
      </c>
    </row>
    <row r="184" spans="4:18">
      <c r="D184" s="25" t="s">
        <v>327</v>
      </c>
      <c r="E184" s="25" t="s">
        <v>328</v>
      </c>
      <c r="F184" s="25" t="s">
        <v>526</v>
      </c>
      <c r="G184" s="26">
        <v>45917</v>
      </c>
      <c r="H184" s="26">
        <v>46032</v>
      </c>
      <c r="I184" s="37">
        <v>4490002</v>
      </c>
      <c r="J184" s="25" t="s">
        <v>52</v>
      </c>
      <c r="K184" s="25" t="s">
        <v>125</v>
      </c>
      <c r="L184" s="25" t="s">
        <v>114</v>
      </c>
      <c r="M184" s="37">
        <v>35920016</v>
      </c>
      <c r="N184" s="34">
        <f t="shared" ca="1" si="10"/>
        <v>51</v>
      </c>
      <c r="O184" s="34" t="str">
        <f t="shared" ca="1" si="11"/>
        <v>31-60</v>
      </c>
      <c r="P184" s="35">
        <f t="shared" si="12"/>
        <v>7.2015322768783751E-4</v>
      </c>
      <c r="Q184" s="36">
        <f t="shared" si="13"/>
        <v>0.125</v>
      </c>
      <c r="R184" s="34" t="str">
        <f t="shared" si="14"/>
        <v>2M-5M</v>
      </c>
    </row>
    <row r="185" spans="4:18">
      <c r="D185" s="25" t="s">
        <v>527</v>
      </c>
      <c r="E185" s="25" t="s">
        <v>528</v>
      </c>
      <c r="F185" s="25" t="s">
        <v>529</v>
      </c>
      <c r="G185" s="26">
        <v>45786</v>
      </c>
      <c r="H185" s="26">
        <v>45994</v>
      </c>
      <c r="I185" s="37">
        <v>2605406</v>
      </c>
      <c r="J185" s="25" t="s">
        <v>133</v>
      </c>
      <c r="K185" s="25" t="s">
        <v>94</v>
      </c>
      <c r="L185" s="25" t="s">
        <v>121</v>
      </c>
      <c r="M185" s="37">
        <v>15632436</v>
      </c>
      <c r="N185" s="34">
        <f t="shared" ca="1" si="10"/>
        <v>89</v>
      </c>
      <c r="O185" s="34" t="str">
        <f t="shared" ca="1" si="11"/>
        <v>61-90</v>
      </c>
      <c r="P185" s="35">
        <f t="shared" si="12"/>
        <v>4.1788211683140854E-4</v>
      </c>
      <c r="Q185" s="36">
        <f t="shared" si="13"/>
        <v>0.16666666666666666</v>
      </c>
      <c r="R185" s="34" t="str">
        <f t="shared" si="14"/>
        <v>2M-5M</v>
      </c>
    </row>
    <row r="186" spans="4:18">
      <c r="D186" s="25" t="s">
        <v>530</v>
      </c>
      <c r="E186" s="25" t="s">
        <v>531</v>
      </c>
      <c r="F186" s="25" t="s">
        <v>532</v>
      </c>
      <c r="G186" s="26">
        <v>45998</v>
      </c>
      <c r="H186" s="26">
        <v>45937</v>
      </c>
      <c r="I186" s="37">
        <v>4879504</v>
      </c>
      <c r="J186" s="25" t="s">
        <v>52</v>
      </c>
      <c r="K186" s="25" t="s">
        <v>94</v>
      </c>
      <c r="L186" s="25" t="s">
        <v>95</v>
      </c>
      <c r="M186" s="37">
        <v>14638512</v>
      </c>
      <c r="N186" s="34">
        <f t="shared" ca="1" si="10"/>
        <v>146</v>
      </c>
      <c r="O186" s="34" t="str">
        <f t="shared" ca="1" si="11"/>
        <v>90+</v>
      </c>
      <c r="P186" s="35">
        <f t="shared" si="12"/>
        <v>7.8262561021480925E-4</v>
      </c>
      <c r="Q186" s="36">
        <f t="shared" si="13"/>
        <v>0.33333333333333331</v>
      </c>
      <c r="R186" s="34" t="str">
        <f t="shared" si="14"/>
        <v>2M-5M</v>
      </c>
    </row>
    <row r="187" spans="4:18">
      <c r="D187" s="25" t="s">
        <v>162</v>
      </c>
      <c r="E187" s="25" t="s">
        <v>163</v>
      </c>
      <c r="F187" s="25" t="s">
        <v>533</v>
      </c>
      <c r="G187" s="26">
        <v>45743</v>
      </c>
      <c r="H187" s="26">
        <v>45952</v>
      </c>
      <c r="I187" s="37">
        <v>5739869</v>
      </c>
      <c r="J187" s="25" t="s">
        <v>52</v>
      </c>
      <c r="K187" s="25" t="s">
        <v>89</v>
      </c>
      <c r="L187" s="25" t="s">
        <v>110</v>
      </c>
      <c r="M187" s="37">
        <v>51658821</v>
      </c>
      <c r="N187" s="34">
        <f t="shared" ca="1" si="10"/>
        <v>131</v>
      </c>
      <c r="O187" s="34" t="str">
        <f t="shared" ca="1" si="11"/>
        <v>90+</v>
      </c>
      <c r="P187" s="35">
        <f t="shared" si="12"/>
        <v>9.2061989880079347E-4</v>
      </c>
      <c r="Q187" s="36">
        <f t="shared" si="13"/>
        <v>0.1111111111111111</v>
      </c>
      <c r="R187" s="34" t="str">
        <f t="shared" si="14"/>
        <v>&gt;5M</v>
      </c>
    </row>
    <row r="188" spans="4:18">
      <c r="D188" s="25" t="s">
        <v>534</v>
      </c>
      <c r="E188" s="25" t="s">
        <v>535</v>
      </c>
      <c r="F188" s="25" t="s">
        <v>536</v>
      </c>
      <c r="G188" s="26">
        <v>46005</v>
      </c>
      <c r="H188" s="26">
        <v>45988</v>
      </c>
      <c r="I188" s="37">
        <v>3517231</v>
      </c>
      <c r="J188" s="25" t="s">
        <v>99</v>
      </c>
      <c r="K188" s="25" t="s">
        <v>134</v>
      </c>
      <c r="L188" s="25" t="s">
        <v>95</v>
      </c>
      <c r="M188" s="37">
        <v>24620617</v>
      </c>
      <c r="N188" s="34">
        <f t="shared" ca="1" si="10"/>
        <v>95</v>
      </c>
      <c r="O188" s="34" t="str">
        <f t="shared" ca="1" si="11"/>
        <v>90+</v>
      </c>
      <c r="P188" s="35">
        <f t="shared" si="12"/>
        <v>5.6413009552639857E-4</v>
      </c>
      <c r="Q188" s="36">
        <f t="shared" si="13"/>
        <v>0.14285714285714285</v>
      </c>
      <c r="R188" s="34" t="str">
        <f t="shared" si="14"/>
        <v>2M-5M</v>
      </c>
    </row>
    <row r="189" spans="4:18">
      <c r="D189" s="25" t="s">
        <v>287</v>
      </c>
      <c r="E189" s="25" t="s">
        <v>288</v>
      </c>
      <c r="F189" s="25" t="s">
        <v>537</v>
      </c>
      <c r="G189" s="26">
        <v>45912</v>
      </c>
      <c r="H189" s="26">
        <v>45950</v>
      </c>
      <c r="I189" s="37">
        <v>6744449</v>
      </c>
      <c r="J189" s="25" t="s">
        <v>99</v>
      </c>
      <c r="K189" s="25" t="s">
        <v>56</v>
      </c>
      <c r="L189" s="25" t="s">
        <v>95</v>
      </c>
      <c r="M189" s="37">
        <v>53955592</v>
      </c>
      <c r="N189" s="34">
        <f t="shared" ca="1" si="10"/>
        <v>133</v>
      </c>
      <c r="O189" s="34" t="str">
        <f t="shared" ca="1" si="11"/>
        <v>90+</v>
      </c>
      <c r="P189" s="35">
        <f t="shared" si="12"/>
        <v>1.0817448892731024E-3</v>
      </c>
      <c r="Q189" s="36">
        <f t="shared" si="13"/>
        <v>0.125</v>
      </c>
      <c r="R189" s="34" t="str">
        <f t="shared" si="14"/>
        <v>&gt;5M</v>
      </c>
    </row>
    <row r="190" spans="4:18">
      <c r="D190" s="25" t="s">
        <v>106</v>
      </c>
      <c r="E190" s="25" t="s">
        <v>107</v>
      </c>
      <c r="F190" s="25" t="s">
        <v>538</v>
      </c>
      <c r="G190" s="26">
        <v>45842</v>
      </c>
      <c r="H190" s="26">
        <v>46084</v>
      </c>
      <c r="I190" s="37">
        <v>5040109</v>
      </c>
      <c r="J190" s="25" t="s">
        <v>52</v>
      </c>
      <c r="K190" s="25" t="s">
        <v>134</v>
      </c>
      <c r="L190" s="25" t="s">
        <v>110</v>
      </c>
      <c r="M190" s="37">
        <v>20160436</v>
      </c>
      <c r="N190" s="34">
        <f t="shared" ca="1" si="10"/>
        <v>0</v>
      </c>
      <c r="O190" s="34" t="str">
        <f t="shared" ca="1" si="11"/>
        <v>Current</v>
      </c>
      <c r="P190" s="35">
        <f t="shared" si="12"/>
        <v>8.0838511079694823E-4</v>
      </c>
      <c r="Q190" s="36">
        <f t="shared" si="13"/>
        <v>0.25</v>
      </c>
      <c r="R190" s="34" t="str">
        <f t="shared" si="14"/>
        <v>&gt;5M</v>
      </c>
    </row>
    <row r="191" spans="4:18">
      <c r="D191" s="25" t="s">
        <v>168</v>
      </c>
      <c r="E191" s="25" t="s">
        <v>169</v>
      </c>
      <c r="F191" s="25" t="s">
        <v>539</v>
      </c>
      <c r="G191" s="26">
        <v>45753</v>
      </c>
      <c r="H191" s="26">
        <v>45949</v>
      </c>
      <c r="I191" s="37">
        <v>1986456</v>
      </c>
      <c r="J191" s="25" t="s">
        <v>52</v>
      </c>
      <c r="K191" s="25" t="s">
        <v>109</v>
      </c>
      <c r="L191" s="25" t="s">
        <v>90</v>
      </c>
      <c r="M191" s="37">
        <v>7945824</v>
      </c>
      <c r="N191" s="34">
        <f t="shared" ca="1" si="10"/>
        <v>134</v>
      </c>
      <c r="O191" s="34" t="str">
        <f t="shared" ca="1" si="11"/>
        <v>90+</v>
      </c>
      <c r="P191" s="35">
        <f t="shared" si="12"/>
        <v>3.1860847724786559E-4</v>
      </c>
      <c r="Q191" s="36">
        <f t="shared" si="13"/>
        <v>0.25</v>
      </c>
      <c r="R191" s="34" t="str">
        <f t="shared" si="14"/>
        <v>500K-2M</v>
      </c>
    </row>
    <row r="192" spans="4:18">
      <c r="D192" s="25" t="s">
        <v>370</v>
      </c>
      <c r="E192" s="25" t="s">
        <v>371</v>
      </c>
      <c r="F192" s="25" t="s">
        <v>540</v>
      </c>
      <c r="G192" s="26">
        <v>45872</v>
      </c>
      <c r="H192" s="26">
        <v>46035</v>
      </c>
      <c r="I192" s="37">
        <v>7135604</v>
      </c>
      <c r="J192" s="25" t="s">
        <v>99</v>
      </c>
      <c r="K192" s="25" t="s">
        <v>89</v>
      </c>
      <c r="L192" s="25" t="s">
        <v>138</v>
      </c>
      <c r="M192" s="37">
        <v>35678020</v>
      </c>
      <c r="N192" s="34">
        <f t="shared" ca="1" si="10"/>
        <v>48</v>
      </c>
      <c r="O192" s="34" t="str">
        <f t="shared" ca="1" si="11"/>
        <v>31-60</v>
      </c>
      <c r="P192" s="35">
        <f t="shared" si="12"/>
        <v>1.1444823971352895E-3</v>
      </c>
      <c r="Q192" s="36">
        <f t="shared" si="13"/>
        <v>0.2</v>
      </c>
      <c r="R192" s="34" t="str">
        <f t="shared" si="14"/>
        <v>&gt;5M</v>
      </c>
    </row>
    <row r="193" spans="4:18">
      <c r="D193" s="25" t="s">
        <v>541</v>
      </c>
      <c r="E193" s="25" t="s">
        <v>542</v>
      </c>
      <c r="F193" s="25" t="s">
        <v>543</v>
      </c>
      <c r="G193" s="26">
        <v>45724</v>
      </c>
      <c r="H193" s="26">
        <v>45956</v>
      </c>
      <c r="I193" s="37">
        <v>7637300</v>
      </c>
      <c r="J193" s="25" t="s">
        <v>52</v>
      </c>
      <c r="K193" s="25" t="s">
        <v>125</v>
      </c>
      <c r="L193" s="25" t="s">
        <v>138</v>
      </c>
      <c r="M193" s="37">
        <v>15274600</v>
      </c>
      <c r="N193" s="34">
        <f t="shared" ca="1" si="10"/>
        <v>127</v>
      </c>
      <c r="O193" s="34" t="str">
        <f t="shared" ca="1" si="11"/>
        <v>90+</v>
      </c>
      <c r="P193" s="35">
        <f t="shared" si="12"/>
        <v>1.224949620472401E-3</v>
      </c>
      <c r="Q193" s="36">
        <f t="shared" si="13"/>
        <v>0.5</v>
      </c>
      <c r="R193" s="34" t="str">
        <f t="shared" si="14"/>
        <v>&gt;5M</v>
      </c>
    </row>
    <row r="194" spans="4:18">
      <c r="D194" s="25" t="s">
        <v>252</v>
      </c>
      <c r="E194" s="25" t="s">
        <v>253</v>
      </c>
      <c r="F194" s="25" t="s">
        <v>544</v>
      </c>
      <c r="G194" s="26">
        <v>45950</v>
      </c>
      <c r="H194" s="26">
        <v>45917</v>
      </c>
      <c r="I194" s="37">
        <v>626786</v>
      </c>
      <c r="J194" s="25" t="s">
        <v>99</v>
      </c>
      <c r="K194" s="25" t="s">
        <v>89</v>
      </c>
      <c r="L194" s="25" t="s">
        <v>90</v>
      </c>
      <c r="M194" s="37">
        <v>2507144</v>
      </c>
      <c r="N194" s="34">
        <f t="shared" ca="1" si="10"/>
        <v>166</v>
      </c>
      <c r="O194" s="34" t="str">
        <f t="shared" ca="1" si="11"/>
        <v>90+</v>
      </c>
      <c r="P194" s="35">
        <f t="shared" si="12"/>
        <v>1.0053045877697804E-4</v>
      </c>
      <c r="Q194" s="36">
        <f t="shared" si="13"/>
        <v>0.25</v>
      </c>
      <c r="R194" s="34" t="str">
        <f t="shared" si="14"/>
        <v>500K-2M</v>
      </c>
    </row>
    <row r="195" spans="4:18">
      <c r="D195" s="25" t="s">
        <v>318</v>
      </c>
      <c r="E195" s="25" t="s">
        <v>319</v>
      </c>
      <c r="F195" s="25" t="s">
        <v>545</v>
      </c>
      <c r="G195" s="26">
        <v>45880</v>
      </c>
      <c r="H195" s="26">
        <v>46029</v>
      </c>
      <c r="I195" s="37">
        <v>7607795</v>
      </c>
      <c r="J195" s="25" t="s">
        <v>99</v>
      </c>
      <c r="K195" s="25" t="s">
        <v>89</v>
      </c>
      <c r="L195" s="25" t="s">
        <v>121</v>
      </c>
      <c r="M195" s="37">
        <v>53254565</v>
      </c>
      <c r="N195" s="34">
        <f t="shared" ca="1" si="10"/>
        <v>54</v>
      </c>
      <c r="O195" s="34" t="str">
        <f t="shared" ca="1" si="11"/>
        <v>31-60</v>
      </c>
      <c r="P195" s="35">
        <f t="shared" si="12"/>
        <v>1.2202173016487279E-3</v>
      </c>
      <c r="Q195" s="36">
        <f t="shared" si="13"/>
        <v>0.14285714285714285</v>
      </c>
      <c r="R195" s="34" t="str">
        <f t="shared" si="14"/>
        <v>&gt;5M</v>
      </c>
    </row>
    <row r="196" spans="4:18">
      <c r="D196" s="25" t="s">
        <v>546</v>
      </c>
      <c r="E196" s="25" t="s">
        <v>547</v>
      </c>
      <c r="F196" s="25" t="s">
        <v>548</v>
      </c>
      <c r="G196" s="26">
        <v>45868</v>
      </c>
      <c r="H196" s="26">
        <v>45938</v>
      </c>
      <c r="I196" s="37">
        <v>3911230</v>
      </c>
      <c r="J196" s="25" t="s">
        <v>52</v>
      </c>
      <c r="K196" s="25" t="s">
        <v>56</v>
      </c>
      <c r="L196" s="25" t="s">
        <v>110</v>
      </c>
      <c r="M196" s="37">
        <v>7822460</v>
      </c>
      <c r="N196" s="34">
        <f t="shared" ca="1" si="10"/>
        <v>145</v>
      </c>
      <c r="O196" s="34" t="str">
        <f t="shared" ca="1" si="11"/>
        <v>90+</v>
      </c>
      <c r="P196" s="35">
        <f t="shared" si="12"/>
        <v>6.2732375369309432E-4</v>
      </c>
      <c r="Q196" s="36">
        <f t="shared" si="13"/>
        <v>0.5</v>
      </c>
      <c r="R196" s="34" t="str">
        <f t="shared" si="14"/>
        <v>2M-5M</v>
      </c>
    </row>
    <row r="197" spans="4:18">
      <c r="D197" s="25" t="s">
        <v>353</v>
      </c>
      <c r="E197" s="25" t="s">
        <v>354</v>
      </c>
      <c r="F197" s="25" t="s">
        <v>549</v>
      </c>
      <c r="G197" s="26">
        <v>46042</v>
      </c>
      <c r="H197" s="26">
        <v>45985</v>
      </c>
      <c r="I197" s="37">
        <v>3786521</v>
      </c>
      <c r="J197" s="25" t="s">
        <v>52</v>
      </c>
      <c r="K197" s="25" t="s">
        <v>125</v>
      </c>
      <c r="L197" s="25" t="s">
        <v>114</v>
      </c>
      <c r="M197" s="37">
        <v>34078689</v>
      </c>
      <c r="N197" s="34">
        <f t="shared" ca="1" si="10"/>
        <v>98</v>
      </c>
      <c r="O197" s="34" t="str">
        <f t="shared" ca="1" si="11"/>
        <v>90+</v>
      </c>
      <c r="P197" s="35">
        <f t="shared" si="12"/>
        <v>6.0732162699655328E-4</v>
      </c>
      <c r="Q197" s="36">
        <f t="shared" si="13"/>
        <v>0.1111111111111111</v>
      </c>
      <c r="R197" s="34" t="str">
        <f t="shared" si="14"/>
        <v>2M-5M</v>
      </c>
    </row>
    <row r="198" spans="4:18">
      <c r="D198" s="25" t="s">
        <v>550</v>
      </c>
      <c r="E198" s="25" t="s">
        <v>551</v>
      </c>
      <c r="F198" s="25" t="s">
        <v>552</v>
      </c>
      <c r="G198" s="26">
        <v>46001</v>
      </c>
      <c r="H198" s="26">
        <v>46028</v>
      </c>
      <c r="I198" s="37">
        <v>901817</v>
      </c>
      <c r="J198" s="25" t="s">
        <v>52</v>
      </c>
      <c r="K198" s="25" t="s">
        <v>56</v>
      </c>
      <c r="L198" s="25" t="s">
        <v>138</v>
      </c>
      <c r="M198" s="37">
        <v>6312719</v>
      </c>
      <c r="N198" s="34">
        <f t="shared" ca="1" si="10"/>
        <v>55</v>
      </c>
      <c r="O198" s="34" t="str">
        <f t="shared" ca="1" si="11"/>
        <v>31-60</v>
      </c>
      <c r="P198" s="35">
        <f t="shared" si="12"/>
        <v>1.4464279154747871E-4</v>
      </c>
      <c r="Q198" s="36">
        <f t="shared" si="13"/>
        <v>0.14285714285714285</v>
      </c>
      <c r="R198" s="34" t="str">
        <f t="shared" si="14"/>
        <v>500K-2M</v>
      </c>
    </row>
    <row r="199" spans="4:18">
      <c r="D199" s="25" t="s">
        <v>546</v>
      </c>
      <c r="E199" s="25" t="s">
        <v>547</v>
      </c>
      <c r="F199" s="25" t="s">
        <v>553</v>
      </c>
      <c r="G199" s="26">
        <v>45853</v>
      </c>
      <c r="H199" s="26">
        <v>45919</v>
      </c>
      <c r="I199" s="37">
        <v>5459052</v>
      </c>
      <c r="J199" s="25" t="s">
        <v>52</v>
      </c>
      <c r="K199" s="25" t="s">
        <v>109</v>
      </c>
      <c r="L199" s="25" t="s">
        <v>114</v>
      </c>
      <c r="M199" s="37">
        <v>16377156</v>
      </c>
      <c r="N199" s="34">
        <f t="shared" ca="1" si="10"/>
        <v>164</v>
      </c>
      <c r="O199" s="34" t="str">
        <f t="shared" ca="1" si="11"/>
        <v>90+</v>
      </c>
      <c r="P199" s="35">
        <f t="shared" si="12"/>
        <v>8.7557954716183746E-4</v>
      </c>
      <c r="Q199" s="36">
        <f t="shared" si="13"/>
        <v>0.33333333333333331</v>
      </c>
      <c r="R199" s="34" t="str">
        <f t="shared" si="14"/>
        <v>&gt;5M</v>
      </c>
    </row>
    <row r="200" spans="4:18">
      <c r="D200" s="25" t="s">
        <v>223</v>
      </c>
      <c r="E200" s="25" t="s">
        <v>224</v>
      </c>
      <c r="F200" s="25" t="s">
        <v>554</v>
      </c>
      <c r="G200" s="26">
        <v>45996</v>
      </c>
      <c r="H200" s="26">
        <v>45965</v>
      </c>
      <c r="I200" s="37">
        <v>4377705</v>
      </c>
      <c r="J200" s="25" t="s">
        <v>52</v>
      </c>
      <c r="K200" s="25" t="s">
        <v>56</v>
      </c>
      <c r="L200" s="25" t="s">
        <v>110</v>
      </c>
      <c r="M200" s="37">
        <v>13133115</v>
      </c>
      <c r="N200" s="34">
        <f t="shared" ref="N200:N263" ca="1" si="15">MAX(0,TODAY()-H200)</f>
        <v>118</v>
      </c>
      <c r="O200" s="34" t="str">
        <f t="shared" ref="O200:O263" ca="1" si="16">IF(N200&lt;=0,"Current",
IF(N200&lt;=30,"1-30",
IF(N200&lt;=60,"31-60",
IF(N200&lt;=90,"61-90","90+"))))</f>
        <v>90+</v>
      </c>
      <c r="P200" s="35">
        <f t="shared" ref="P200:P263" si="17">I200/SUM($I$7:$I$438)</f>
        <v>7.0214186666624754E-4</v>
      </c>
      <c r="Q200" s="36">
        <f t="shared" ref="Q200:Q263" si="18">I200/M200</f>
        <v>0.33333333333333331</v>
      </c>
      <c r="R200" s="34" t="str">
        <f t="shared" ref="R200:R263" si="19">IF(I200&lt;500000,"&lt;500K",
IF(I200&lt;2000000,"500K-2M",
IF(I200&lt;5000000,"2M-5M","&gt;5M")))</f>
        <v>2M-5M</v>
      </c>
    </row>
    <row r="201" spans="4:18">
      <c r="D201" s="25" t="s">
        <v>357</v>
      </c>
      <c r="E201" s="25" t="s">
        <v>358</v>
      </c>
      <c r="F201" s="25" t="s">
        <v>555</v>
      </c>
      <c r="G201" s="26">
        <v>45862</v>
      </c>
      <c r="H201" s="26">
        <v>45994</v>
      </c>
      <c r="I201" s="37">
        <v>4455979</v>
      </c>
      <c r="J201" s="25" t="s">
        <v>52</v>
      </c>
      <c r="K201" s="25" t="s">
        <v>56</v>
      </c>
      <c r="L201" s="25" t="s">
        <v>110</v>
      </c>
      <c r="M201" s="37">
        <v>44559790</v>
      </c>
      <c r="N201" s="34">
        <f t="shared" ca="1" si="15"/>
        <v>89</v>
      </c>
      <c r="O201" s="34" t="str">
        <f t="shared" ca="1" si="16"/>
        <v>61-90</v>
      </c>
      <c r="P201" s="35">
        <f t="shared" si="17"/>
        <v>7.1469626502598945E-4</v>
      </c>
      <c r="Q201" s="36">
        <f t="shared" si="18"/>
        <v>0.1</v>
      </c>
      <c r="R201" s="34" t="str">
        <f t="shared" si="19"/>
        <v>2M-5M</v>
      </c>
    </row>
    <row r="202" spans="4:18">
      <c r="D202" s="25" t="s">
        <v>357</v>
      </c>
      <c r="E202" s="25" t="s">
        <v>358</v>
      </c>
      <c r="F202" s="25" t="s">
        <v>556</v>
      </c>
      <c r="G202" s="26">
        <v>45775</v>
      </c>
      <c r="H202" s="26">
        <v>45912</v>
      </c>
      <c r="I202" s="37">
        <v>4256223</v>
      </c>
      <c r="J202" s="25" t="s">
        <v>52</v>
      </c>
      <c r="K202" s="25" t="s">
        <v>125</v>
      </c>
      <c r="L202" s="25" t="s">
        <v>121</v>
      </c>
      <c r="M202" s="37">
        <v>25537338</v>
      </c>
      <c r="N202" s="34">
        <f t="shared" ca="1" si="15"/>
        <v>171</v>
      </c>
      <c r="O202" s="34" t="str">
        <f t="shared" ca="1" si="16"/>
        <v>90+</v>
      </c>
      <c r="P202" s="35">
        <f t="shared" si="17"/>
        <v>6.826573197983455E-4</v>
      </c>
      <c r="Q202" s="36">
        <f t="shared" si="18"/>
        <v>0.16666666666666666</v>
      </c>
      <c r="R202" s="34" t="str">
        <f t="shared" si="19"/>
        <v>2M-5M</v>
      </c>
    </row>
    <row r="203" spans="4:18">
      <c r="D203" s="25" t="s">
        <v>273</v>
      </c>
      <c r="E203" s="25" t="s">
        <v>274</v>
      </c>
      <c r="F203" s="25" t="s">
        <v>557</v>
      </c>
      <c r="G203" s="26">
        <v>45764</v>
      </c>
      <c r="H203" s="26">
        <v>46088</v>
      </c>
      <c r="I203" s="37">
        <v>5741939</v>
      </c>
      <c r="J203" s="25" t="s">
        <v>52</v>
      </c>
      <c r="K203" s="25" t="s">
        <v>94</v>
      </c>
      <c r="L203" s="25" t="s">
        <v>121</v>
      </c>
      <c r="M203" s="37">
        <v>57419390</v>
      </c>
      <c r="N203" s="34">
        <f t="shared" ca="1" si="15"/>
        <v>0</v>
      </c>
      <c r="O203" s="34" t="str">
        <f t="shared" ca="1" si="16"/>
        <v>Current</v>
      </c>
      <c r="P203" s="35">
        <f t="shared" si="17"/>
        <v>9.2095190693382181E-4</v>
      </c>
      <c r="Q203" s="36">
        <f t="shared" si="18"/>
        <v>0.1</v>
      </c>
      <c r="R203" s="34" t="str">
        <f t="shared" si="19"/>
        <v>&gt;5M</v>
      </c>
    </row>
    <row r="204" spans="4:18">
      <c r="D204" s="25" t="s">
        <v>330</v>
      </c>
      <c r="E204" s="25" t="s">
        <v>331</v>
      </c>
      <c r="F204" s="25" t="s">
        <v>558</v>
      </c>
      <c r="G204" s="26">
        <v>45901</v>
      </c>
      <c r="H204" s="26">
        <v>46011</v>
      </c>
      <c r="I204" s="37">
        <v>7693130</v>
      </c>
      <c r="J204" s="25" t="s">
        <v>52</v>
      </c>
      <c r="K204" s="25" t="s">
        <v>125</v>
      </c>
      <c r="L204" s="25" t="s">
        <v>138</v>
      </c>
      <c r="M204" s="37">
        <v>76931300</v>
      </c>
      <c r="N204" s="34">
        <f t="shared" ca="1" si="15"/>
        <v>72</v>
      </c>
      <c r="O204" s="34" t="str">
        <f t="shared" ca="1" si="16"/>
        <v>61-90</v>
      </c>
      <c r="P204" s="35">
        <f t="shared" si="17"/>
        <v>1.2339042166400222E-3</v>
      </c>
      <c r="Q204" s="36">
        <f t="shared" si="18"/>
        <v>0.1</v>
      </c>
      <c r="R204" s="34" t="str">
        <f t="shared" si="19"/>
        <v>&gt;5M</v>
      </c>
    </row>
    <row r="205" spans="4:18">
      <c r="D205" s="25" t="s">
        <v>559</v>
      </c>
      <c r="E205" s="25" t="s">
        <v>560</v>
      </c>
      <c r="F205" s="25" t="s">
        <v>561</v>
      </c>
      <c r="G205" s="26">
        <v>45935</v>
      </c>
      <c r="H205" s="26">
        <v>45933</v>
      </c>
      <c r="I205" s="37">
        <v>3637882</v>
      </c>
      <c r="J205" s="25" t="s">
        <v>52</v>
      </c>
      <c r="K205" s="25" t="s">
        <v>56</v>
      </c>
      <c r="L205" s="25" t="s">
        <v>114</v>
      </c>
      <c r="M205" s="37">
        <v>14551528</v>
      </c>
      <c r="N205" s="34">
        <f t="shared" ca="1" si="15"/>
        <v>150</v>
      </c>
      <c r="O205" s="34" t="str">
        <f t="shared" ca="1" si="16"/>
        <v>90+</v>
      </c>
      <c r="P205" s="35">
        <f t="shared" si="17"/>
        <v>5.8348135796988188E-4</v>
      </c>
      <c r="Q205" s="36">
        <f t="shared" si="18"/>
        <v>0.25</v>
      </c>
      <c r="R205" s="34" t="str">
        <f t="shared" si="19"/>
        <v>2M-5M</v>
      </c>
    </row>
    <row r="206" spans="4:18">
      <c r="D206" s="25" t="s">
        <v>562</v>
      </c>
      <c r="E206" s="25" t="s">
        <v>563</v>
      </c>
      <c r="F206" s="25" t="s">
        <v>564</v>
      </c>
      <c r="G206" s="26">
        <v>46032</v>
      </c>
      <c r="H206" s="26">
        <v>45915</v>
      </c>
      <c r="I206" s="37">
        <v>6920231</v>
      </c>
      <c r="J206" s="25" t="s">
        <v>99</v>
      </c>
      <c r="K206" s="25" t="s">
        <v>56</v>
      </c>
      <c r="L206" s="25" t="s">
        <v>95</v>
      </c>
      <c r="M206" s="37">
        <v>34601155</v>
      </c>
      <c r="N206" s="34">
        <f t="shared" ca="1" si="15"/>
        <v>168</v>
      </c>
      <c r="O206" s="34" t="str">
        <f t="shared" ca="1" si="16"/>
        <v>90+</v>
      </c>
      <c r="P206" s="35">
        <f t="shared" si="17"/>
        <v>1.1099386349929089E-3</v>
      </c>
      <c r="Q206" s="36">
        <f t="shared" si="18"/>
        <v>0.2</v>
      </c>
      <c r="R206" s="34" t="str">
        <f t="shared" si="19"/>
        <v>&gt;5M</v>
      </c>
    </row>
    <row r="207" spans="4:18">
      <c r="D207" s="25" t="s">
        <v>487</v>
      </c>
      <c r="E207" s="25" t="s">
        <v>488</v>
      </c>
      <c r="F207" s="25" t="s">
        <v>565</v>
      </c>
      <c r="G207" s="26">
        <v>45888</v>
      </c>
      <c r="H207" s="26">
        <v>46020</v>
      </c>
      <c r="I207" s="37">
        <v>169104</v>
      </c>
      <c r="J207" s="25" t="s">
        <v>133</v>
      </c>
      <c r="K207" s="25" t="s">
        <v>125</v>
      </c>
      <c r="L207" s="25" t="s">
        <v>95</v>
      </c>
      <c r="M207" s="37">
        <v>1521936</v>
      </c>
      <c r="N207" s="34">
        <f t="shared" ca="1" si="15"/>
        <v>63</v>
      </c>
      <c r="O207" s="34" t="str">
        <f t="shared" ca="1" si="16"/>
        <v>61-90</v>
      </c>
      <c r="P207" s="35">
        <f t="shared" si="17"/>
        <v>2.7122658612384599E-5</v>
      </c>
      <c r="Q207" s="36">
        <f t="shared" si="18"/>
        <v>0.1111111111111111</v>
      </c>
      <c r="R207" s="34" t="str">
        <f t="shared" si="19"/>
        <v>&lt;500K</v>
      </c>
    </row>
    <row r="208" spans="4:18">
      <c r="D208" s="25" t="s">
        <v>439</v>
      </c>
      <c r="E208" s="25" t="s">
        <v>440</v>
      </c>
      <c r="F208" s="25" t="s">
        <v>566</v>
      </c>
      <c r="G208" s="26">
        <v>45996</v>
      </c>
      <c r="H208" s="26">
        <v>46117</v>
      </c>
      <c r="I208" s="37">
        <v>6417196</v>
      </c>
      <c r="J208" s="25" t="s">
        <v>52</v>
      </c>
      <c r="K208" s="25" t="s">
        <v>89</v>
      </c>
      <c r="L208" s="25" t="s">
        <v>90</v>
      </c>
      <c r="M208" s="37">
        <v>64171960</v>
      </c>
      <c r="N208" s="34">
        <f t="shared" ca="1" si="15"/>
        <v>0</v>
      </c>
      <c r="O208" s="34" t="str">
        <f t="shared" ca="1" si="16"/>
        <v>Current</v>
      </c>
      <c r="P208" s="35">
        <f t="shared" si="17"/>
        <v>1.0292566489069448E-3</v>
      </c>
      <c r="Q208" s="36">
        <f t="shared" si="18"/>
        <v>0.1</v>
      </c>
      <c r="R208" s="34" t="str">
        <f t="shared" si="19"/>
        <v>&gt;5M</v>
      </c>
    </row>
    <row r="209" spans="4:18">
      <c r="D209" s="25" t="s">
        <v>135</v>
      </c>
      <c r="E209" s="25" t="s">
        <v>136</v>
      </c>
      <c r="F209" s="25" t="s">
        <v>567</v>
      </c>
      <c r="G209" s="26">
        <v>46036</v>
      </c>
      <c r="H209" s="26">
        <v>45993</v>
      </c>
      <c r="I209" s="37">
        <v>922430</v>
      </c>
      <c r="J209" s="25" t="s">
        <v>52</v>
      </c>
      <c r="K209" s="25" t="s">
        <v>109</v>
      </c>
      <c r="L209" s="25" t="s">
        <v>121</v>
      </c>
      <c r="M209" s="37">
        <v>6457010</v>
      </c>
      <c r="N209" s="34">
        <f t="shared" ca="1" si="15"/>
        <v>90</v>
      </c>
      <c r="O209" s="34" t="str">
        <f t="shared" ca="1" si="16"/>
        <v>61-90</v>
      </c>
      <c r="P209" s="35">
        <f t="shared" si="17"/>
        <v>1.4794891891275149E-4</v>
      </c>
      <c r="Q209" s="36">
        <f t="shared" si="18"/>
        <v>0.14285714285714285</v>
      </c>
      <c r="R209" s="34" t="str">
        <f t="shared" si="19"/>
        <v>500K-2M</v>
      </c>
    </row>
    <row r="210" spans="4:18">
      <c r="D210" s="25" t="s">
        <v>152</v>
      </c>
      <c r="E210" s="25" t="s">
        <v>153</v>
      </c>
      <c r="F210" s="25" t="s">
        <v>568</v>
      </c>
      <c r="G210" s="26">
        <v>46002</v>
      </c>
      <c r="H210" s="26">
        <v>46003</v>
      </c>
      <c r="I210" s="37">
        <v>2102706</v>
      </c>
      <c r="J210" s="25" t="s">
        <v>52</v>
      </c>
      <c r="K210" s="25" t="s">
        <v>89</v>
      </c>
      <c r="L210" s="25" t="s">
        <v>114</v>
      </c>
      <c r="M210" s="37">
        <v>6308118</v>
      </c>
      <c r="N210" s="34">
        <f t="shared" ca="1" si="15"/>
        <v>80</v>
      </c>
      <c r="O210" s="34" t="str">
        <f t="shared" ca="1" si="16"/>
        <v>61-90</v>
      </c>
      <c r="P210" s="35">
        <f t="shared" si="17"/>
        <v>3.3725386153025814E-4</v>
      </c>
      <c r="Q210" s="36">
        <f t="shared" si="18"/>
        <v>0.33333333333333331</v>
      </c>
      <c r="R210" s="34" t="str">
        <f t="shared" si="19"/>
        <v>2M-5M</v>
      </c>
    </row>
    <row r="211" spans="4:18">
      <c r="D211" s="25" t="s">
        <v>569</v>
      </c>
      <c r="E211" s="25" t="s">
        <v>570</v>
      </c>
      <c r="F211" s="25" t="s">
        <v>571</v>
      </c>
      <c r="G211" s="26">
        <v>45749</v>
      </c>
      <c r="H211" s="26">
        <v>46067</v>
      </c>
      <c r="I211" s="37">
        <v>5585817</v>
      </c>
      <c r="J211" s="25" t="s">
        <v>52</v>
      </c>
      <c r="K211" s="25" t="s">
        <v>109</v>
      </c>
      <c r="L211" s="25" t="s">
        <v>95</v>
      </c>
      <c r="M211" s="37">
        <v>39100719</v>
      </c>
      <c r="N211" s="34">
        <f t="shared" ca="1" si="15"/>
        <v>16</v>
      </c>
      <c r="O211" s="34" t="str">
        <f t="shared" ca="1" si="16"/>
        <v>1-30</v>
      </c>
      <c r="P211" s="35">
        <f t="shared" si="17"/>
        <v>8.9591143652577288E-4</v>
      </c>
      <c r="Q211" s="36">
        <f t="shared" si="18"/>
        <v>0.14285714285714285</v>
      </c>
      <c r="R211" s="34" t="str">
        <f t="shared" si="19"/>
        <v>&gt;5M</v>
      </c>
    </row>
    <row r="212" spans="4:18">
      <c r="D212" s="25" t="s">
        <v>177</v>
      </c>
      <c r="E212" s="25" t="s">
        <v>178</v>
      </c>
      <c r="F212" s="25" t="s">
        <v>572</v>
      </c>
      <c r="G212" s="26">
        <v>46031</v>
      </c>
      <c r="H212" s="26">
        <v>46104</v>
      </c>
      <c r="I212" s="37">
        <v>5568909</v>
      </c>
      <c r="J212" s="25" t="s">
        <v>52</v>
      </c>
      <c r="K212" s="25" t="s">
        <v>56</v>
      </c>
      <c r="L212" s="25" t="s">
        <v>110</v>
      </c>
      <c r="M212" s="37">
        <v>11137818</v>
      </c>
      <c r="N212" s="34">
        <f t="shared" ca="1" si="15"/>
        <v>0</v>
      </c>
      <c r="O212" s="34" t="str">
        <f t="shared" ca="1" si="16"/>
        <v>Current</v>
      </c>
      <c r="P212" s="35">
        <f t="shared" si="17"/>
        <v>8.9319955560150026E-4</v>
      </c>
      <c r="Q212" s="36">
        <f t="shared" si="18"/>
        <v>0.5</v>
      </c>
      <c r="R212" s="34" t="str">
        <f t="shared" si="19"/>
        <v>&gt;5M</v>
      </c>
    </row>
    <row r="213" spans="4:18">
      <c r="D213" s="25" t="s">
        <v>152</v>
      </c>
      <c r="E213" s="25" t="s">
        <v>153</v>
      </c>
      <c r="F213" s="25" t="s">
        <v>573</v>
      </c>
      <c r="G213" s="26">
        <v>45757</v>
      </c>
      <c r="H213" s="26">
        <v>46033</v>
      </c>
      <c r="I213" s="37">
        <v>6243914</v>
      </c>
      <c r="J213" s="25" t="s">
        <v>52</v>
      </c>
      <c r="K213" s="25" t="s">
        <v>56</v>
      </c>
      <c r="L213" s="25" t="s">
        <v>121</v>
      </c>
      <c r="M213" s="37">
        <v>18731742</v>
      </c>
      <c r="N213" s="34">
        <f t="shared" ca="1" si="15"/>
        <v>50</v>
      </c>
      <c r="O213" s="34" t="str">
        <f t="shared" ca="1" si="16"/>
        <v>31-60</v>
      </c>
      <c r="P213" s="35">
        <f t="shared" si="17"/>
        <v>1.001463879193211E-3</v>
      </c>
      <c r="Q213" s="36">
        <f t="shared" si="18"/>
        <v>0.33333333333333331</v>
      </c>
      <c r="R213" s="34" t="str">
        <f t="shared" si="19"/>
        <v>&gt;5M</v>
      </c>
    </row>
    <row r="214" spans="4:18">
      <c r="D214" s="25" t="s">
        <v>574</v>
      </c>
      <c r="E214" s="25" t="s">
        <v>575</v>
      </c>
      <c r="F214" s="25" t="s">
        <v>576</v>
      </c>
      <c r="G214" s="26">
        <v>46010</v>
      </c>
      <c r="H214" s="26">
        <v>46130</v>
      </c>
      <c r="I214" s="37">
        <v>2697265</v>
      </c>
      <c r="J214" s="25" t="s">
        <v>99</v>
      </c>
      <c r="K214" s="25" t="s">
        <v>134</v>
      </c>
      <c r="L214" s="25" t="s">
        <v>114</v>
      </c>
      <c r="M214" s="37">
        <v>26972650</v>
      </c>
      <c r="N214" s="34">
        <f t="shared" ca="1" si="15"/>
        <v>0</v>
      </c>
      <c r="O214" s="34" t="str">
        <f t="shared" ca="1" si="16"/>
        <v>Current</v>
      </c>
      <c r="P214" s="35">
        <f t="shared" si="17"/>
        <v>4.3261541880815088E-4</v>
      </c>
      <c r="Q214" s="36">
        <f t="shared" si="18"/>
        <v>0.1</v>
      </c>
      <c r="R214" s="34" t="str">
        <f t="shared" si="19"/>
        <v>2M-5M</v>
      </c>
    </row>
    <row r="215" spans="4:18">
      <c r="D215" s="25" t="s">
        <v>459</v>
      </c>
      <c r="E215" s="25" t="s">
        <v>460</v>
      </c>
      <c r="F215" s="25" t="s">
        <v>577</v>
      </c>
      <c r="G215" s="26">
        <v>45826</v>
      </c>
      <c r="H215" s="26">
        <v>45957</v>
      </c>
      <c r="I215" s="37">
        <v>4621926</v>
      </c>
      <c r="J215" s="25" t="s">
        <v>52</v>
      </c>
      <c r="K215" s="25" t="s">
        <v>109</v>
      </c>
      <c r="L215" s="25" t="s">
        <v>110</v>
      </c>
      <c r="M215" s="37">
        <v>9243852</v>
      </c>
      <c r="N215" s="34">
        <f t="shared" ca="1" si="15"/>
        <v>126</v>
      </c>
      <c r="O215" s="34" t="str">
        <f t="shared" ca="1" si="16"/>
        <v>90+</v>
      </c>
      <c r="P215" s="35">
        <f t="shared" si="17"/>
        <v>7.4131257113790503E-4</v>
      </c>
      <c r="Q215" s="36">
        <f t="shared" si="18"/>
        <v>0.5</v>
      </c>
      <c r="R215" s="34" t="str">
        <f t="shared" si="19"/>
        <v>2M-5M</v>
      </c>
    </row>
    <row r="216" spans="4:18">
      <c r="D216" s="25" t="s">
        <v>347</v>
      </c>
      <c r="E216" s="25" t="s">
        <v>348</v>
      </c>
      <c r="F216" s="25" t="s">
        <v>578</v>
      </c>
      <c r="G216" s="26">
        <v>45998</v>
      </c>
      <c r="H216" s="26">
        <v>46130</v>
      </c>
      <c r="I216" s="37">
        <v>4665736</v>
      </c>
      <c r="J216" s="25" t="s">
        <v>52</v>
      </c>
      <c r="K216" s="25" t="s">
        <v>125</v>
      </c>
      <c r="L216" s="25" t="s">
        <v>110</v>
      </c>
      <c r="M216" s="37">
        <v>46657360</v>
      </c>
      <c r="N216" s="34">
        <f t="shared" ca="1" si="15"/>
        <v>0</v>
      </c>
      <c r="O216" s="34" t="str">
        <f t="shared" ca="1" si="16"/>
        <v>Current</v>
      </c>
      <c r="P216" s="35">
        <f t="shared" si="17"/>
        <v>7.4833927466832757E-4</v>
      </c>
      <c r="Q216" s="36">
        <f t="shared" si="18"/>
        <v>0.1</v>
      </c>
      <c r="R216" s="34" t="str">
        <f t="shared" si="19"/>
        <v>2M-5M</v>
      </c>
    </row>
    <row r="217" spans="4:18">
      <c r="D217" s="25" t="s">
        <v>579</v>
      </c>
      <c r="E217" s="25" t="s">
        <v>580</v>
      </c>
      <c r="F217" s="25" t="s">
        <v>581</v>
      </c>
      <c r="G217" s="26">
        <v>46002</v>
      </c>
      <c r="H217" s="26">
        <v>46014</v>
      </c>
      <c r="I217" s="37">
        <v>3691543</v>
      </c>
      <c r="J217" s="25" t="s">
        <v>99</v>
      </c>
      <c r="K217" s="25" t="s">
        <v>134</v>
      </c>
      <c r="L217" s="25" t="s">
        <v>95</v>
      </c>
      <c r="M217" s="37">
        <v>14766172</v>
      </c>
      <c r="N217" s="34">
        <f t="shared" ca="1" si="15"/>
        <v>69</v>
      </c>
      <c r="O217" s="34" t="str">
        <f t="shared" ca="1" si="16"/>
        <v>61-90</v>
      </c>
      <c r="P217" s="35">
        <f t="shared" si="17"/>
        <v>5.9208806735463429E-4</v>
      </c>
      <c r="Q217" s="36">
        <f t="shared" si="18"/>
        <v>0.25</v>
      </c>
      <c r="R217" s="34" t="str">
        <f t="shared" si="19"/>
        <v>2M-5M</v>
      </c>
    </row>
    <row r="218" spans="4:18">
      <c r="D218" s="25" t="s">
        <v>582</v>
      </c>
      <c r="E218" s="25" t="s">
        <v>583</v>
      </c>
      <c r="F218" s="25" t="s">
        <v>584</v>
      </c>
      <c r="G218" s="26">
        <v>45718</v>
      </c>
      <c r="H218" s="26">
        <v>45989</v>
      </c>
      <c r="I218" s="37">
        <v>4526603</v>
      </c>
      <c r="J218" s="25" t="s">
        <v>52</v>
      </c>
      <c r="K218" s="25" t="s">
        <v>134</v>
      </c>
      <c r="L218" s="25" t="s">
        <v>121</v>
      </c>
      <c r="M218" s="37">
        <v>27159618</v>
      </c>
      <c r="N218" s="34">
        <f t="shared" ca="1" si="15"/>
        <v>94</v>
      </c>
      <c r="O218" s="34" t="str">
        <f t="shared" ca="1" si="16"/>
        <v>90+</v>
      </c>
      <c r="P218" s="35">
        <f t="shared" si="17"/>
        <v>7.2602367680714799E-4</v>
      </c>
      <c r="Q218" s="36">
        <f t="shared" si="18"/>
        <v>0.16666666666666666</v>
      </c>
      <c r="R218" s="34" t="str">
        <f t="shared" si="19"/>
        <v>2M-5M</v>
      </c>
    </row>
    <row r="219" spans="4:18">
      <c r="D219" s="25" t="s">
        <v>585</v>
      </c>
      <c r="E219" s="25" t="s">
        <v>586</v>
      </c>
      <c r="F219" s="25" t="s">
        <v>587</v>
      </c>
      <c r="G219" s="26">
        <v>45852</v>
      </c>
      <c r="H219" s="26">
        <v>46115</v>
      </c>
      <c r="I219" s="37">
        <v>6518678</v>
      </c>
      <c r="J219" s="25" t="s">
        <v>99</v>
      </c>
      <c r="K219" s="25" t="s">
        <v>125</v>
      </c>
      <c r="L219" s="25" t="s">
        <v>121</v>
      </c>
      <c r="M219" s="37">
        <v>39112068</v>
      </c>
      <c r="N219" s="34">
        <f t="shared" ca="1" si="15"/>
        <v>0</v>
      </c>
      <c r="O219" s="34" t="str">
        <f t="shared" ca="1" si="16"/>
        <v>Current</v>
      </c>
      <c r="P219" s="35">
        <f t="shared" si="17"/>
        <v>1.0455333877262632E-3</v>
      </c>
      <c r="Q219" s="36">
        <f t="shared" si="18"/>
        <v>0.16666666666666666</v>
      </c>
      <c r="R219" s="34" t="str">
        <f t="shared" si="19"/>
        <v>&gt;5M</v>
      </c>
    </row>
    <row r="220" spans="4:18">
      <c r="D220" s="25" t="s">
        <v>574</v>
      </c>
      <c r="E220" s="25" t="s">
        <v>575</v>
      </c>
      <c r="F220" s="25" t="s">
        <v>588</v>
      </c>
      <c r="G220" s="26">
        <v>45850</v>
      </c>
      <c r="H220" s="26">
        <v>46102</v>
      </c>
      <c r="I220" s="37">
        <v>2724137</v>
      </c>
      <c r="J220" s="25" t="s">
        <v>99</v>
      </c>
      <c r="K220" s="25" t="s">
        <v>109</v>
      </c>
      <c r="L220" s="25" t="s">
        <v>110</v>
      </c>
      <c r="M220" s="37">
        <v>8172411</v>
      </c>
      <c r="N220" s="34">
        <f t="shared" ca="1" si="15"/>
        <v>0</v>
      </c>
      <c r="O220" s="34" t="str">
        <f t="shared" ca="1" si="16"/>
        <v>Current</v>
      </c>
      <c r="P220" s="35">
        <f t="shared" si="17"/>
        <v>4.3692542970222786E-4</v>
      </c>
      <c r="Q220" s="36">
        <f t="shared" si="18"/>
        <v>0.33333333333333331</v>
      </c>
      <c r="R220" s="34" t="str">
        <f t="shared" si="19"/>
        <v>2M-5M</v>
      </c>
    </row>
    <row r="221" spans="4:18">
      <c r="D221" s="25" t="s">
        <v>589</v>
      </c>
      <c r="E221" s="25" t="s">
        <v>590</v>
      </c>
      <c r="F221" s="25" t="s">
        <v>591</v>
      </c>
      <c r="G221" s="26">
        <v>45766</v>
      </c>
      <c r="H221" s="26">
        <v>46130</v>
      </c>
      <c r="I221" s="37">
        <v>1895831</v>
      </c>
      <c r="J221" s="25" t="s">
        <v>99</v>
      </c>
      <c r="K221" s="25" t="s">
        <v>94</v>
      </c>
      <c r="L221" s="25" t="s">
        <v>114</v>
      </c>
      <c r="M221" s="37">
        <v>17062479</v>
      </c>
      <c r="N221" s="34">
        <f t="shared" ca="1" si="15"/>
        <v>0</v>
      </c>
      <c r="O221" s="34" t="str">
        <f t="shared" ca="1" si="16"/>
        <v>Current</v>
      </c>
      <c r="P221" s="35">
        <f t="shared" si="17"/>
        <v>3.0407309702772085E-4</v>
      </c>
      <c r="Q221" s="36">
        <f t="shared" si="18"/>
        <v>0.1111111111111111</v>
      </c>
      <c r="R221" s="34" t="str">
        <f t="shared" si="19"/>
        <v>500K-2M</v>
      </c>
    </row>
    <row r="222" spans="4:18">
      <c r="D222" s="25" t="s">
        <v>439</v>
      </c>
      <c r="E222" s="25" t="s">
        <v>440</v>
      </c>
      <c r="F222" s="25" t="s">
        <v>592</v>
      </c>
      <c r="G222" s="26">
        <v>45792</v>
      </c>
      <c r="H222" s="26">
        <v>46090</v>
      </c>
      <c r="I222" s="37">
        <v>7087285</v>
      </c>
      <c r="J222" s="25" t="s">
        <v>52</v>
      </c>
      <c r="K222" s="25" t="s">
        <v>134</v>
      </c>
      <c r="L222" s="25" t="s">
        <v>114</v>
      </c>
      <c r="M222" s="37">
        <v>21261855</v>
      </c>
      <c r="N222" s="34">
        <f t="shared" ca="1" si="15"/>
        <v>0</v>
      </c>
      <c r="O222" s="34" t="str">
        <f t="shared" ca="1" si="16"/>
        <v>Current</v>
      </c>
      <c r="P222" s="35">
        <f t="shared" si="17"/>
        <v>1.1367324932803138E-3</v>
      </c>
      <c r="Q222" s="36">
        <f t="shared" si="18"/>
        <v>0.33333333333333331</v>
      </c>
      <c r="R222" s="34" t="str">
        <f t="shared" si="19"/>
        <v>&gt;5M</v>
      </c>
    </row>
    <row r="223" spans="4:18">
      <c r="D223" s="25" t="s">
        <v>426</v>
      </c>
      <c r="E223" s="25" t="s">
        <v>427</v>
      </c>
      <c r="F223" s="25" t="s">
        <v>593</v>
      </c>
      <c r="G223" s="26">
        <v>46051</v>
      </c>
      <c r="H223" s="26">
        <v>46012</v>
      </c>
      <c r="I223" s="37">
        <v>4479843</v>
      </c>
      <c r="J223" s="25" t="s">
        <v>52</v>
      </c>
      <c r="K223" s="25" t="s">
        <v>125</v>
      </c>
      <c r="L223" s="25" t="s">
        <v>114</v>
      </c>
      <c r="M223" s="37">
        <v>35838744</v>
      </c>
      <c r="N223" s="34">
        <f t="shared" ca="1" si="15"/>
        <v>71</v>
      </c>
      <c r="O223" s="34" t="str">
        <f t="shared" ca="1" si="16"/>
        <v>61-90</v>
      </c>
      <c r="P223" s="35">
        <f t="shared" si="17"/>
        <v>7.185238215895594E-4</v>
      </c>
      <c r="Q223" s="36">
        <f t="shared" si="18"/>
        <v>0.125</v>
      </c>
      <c r="R223" s="34" t="str">
        <f t="shared" si="19"/>
        <v>2M-5M</v>
      </c>
    </row>
    <row r="224" spans="4:18">
      <c r="D224" s="25" t="s">
        <v>594</v>
      </c>
      <c r="E224" s="25" t="s">
        <v>595</v>
      </c>
      <c r="F224" s="25" t="s">
        <v>596</v>
      </c>
      <c r="G224" s="26">
        <v>45946</v>
      </c>
      <c r="H224" s="26">
        <v>45930</v>
      </c>
      <c r="I224" s="37">
        <v>3578768</v>
      </c>
      <c r="J224" s="25" t="s">
        <v>52</v>
      </c>
      <c r="K224" s="25" t="s">
        <v>109</v>
      </c>
      <c r="L224" s="25" t="s">
        <v>114</v>
      </c>
      <c r="M224" s="37">
        <v>17893840</v>
      </c>
      <c r="N224" s="34">
        <f t="shared" ca="1" si="15"/>
        <v>153</v>
      </c>
      <c r="O224" s="34" t="str">
        <f t="shared" ca="1" si="16"/>
        <v>90+</v>
      </c>
      <c r="P224" s="35">
        <f t="shared" si="17"/>
        <v>5.740000397206832E-4</v>
      </c>
      <c r="Q224" s="36">
        <f t="shared" si="18"/>
        <v>0.2</v>
      </c>
      <c r="R224" s="34" t="str">
        <f t="shared" si="19"/>
        <v>2M-5M</v>
      </c>
    </row>
    <row r="225" spans="4:18">
      <c r="D225" s="25" t="s">
        <v>597</v>
      </c>
      <c r="E225" s="25" t="s">
        <v>598</v>
      </c>
      <c r="F225" s="25" t="s">
        <v>599</v>
      </c>
      <c r="G225" s="26">
        <v>46029</v>
      </c>
      <c r="H225" s="26">
        <v>45910</v>
      </c>
      <c r="I225" s="37">
        <v>4651830</v>
      </c>
      <c r="J225" s="25" t="s">
        <v>52</v>
      </c>
      <c r="K225" s="25" t="s">
        <v>109</v>
      </c>
      <c r="L225" s="25" t="s">
        <v>114</v>
      </c>
      <c r="M225" s="37">
        <v>27910980</v>
      </c>
      <c r="N225" s="34">
        <f t="shared" ca="1" si="15"/>
        <v>173</v>
      </c>
      <c r="O225" s="34" t="str">
        <f t="shared" ca="1" si="16"/>
        <v>90+</v>
      </c>
      <c r="P225" s="35">
        <f t="shared" si="17"/>
        <v>7.4610888573214734E-4</v>
      </c>
      <c r="Q225" s="36">
        <f t="shared" si="18"/>
        <v>0.16666666666666666</v>
      </c>
      <c r="R225" s="34" t="str">
        <f t="shared" si="19"/>
        <v>2M-5M</v>
      </c>
    </row>
    <row r="226" spans="4:18">
      <c r="D226" s="25" t="s">
        <v>309</v>
      </c>
      <c r="E226" s="25" t="s">
        <v>310</v>
      </c>
      <c r="F226" s="25" t="s">
        <v>600</v>
      </c>
      <c r="G226" s="26">
        <v>45788</v>
      </c>
      <c r="H226" s="26">
        <v>46093</v>
      </c>
      <c r="I226" s="37">
        <v>6226290</v>
      </c>
      <c r="J226" s="25" t="s">
        <v>99</v>
      </c>
      <c r="K226" s="25" t="s">
        <v>109</v>
      </c>
      <c r="L226" s="25" t="s">
        <v>138</v>
      </c>
      <c r="M226" s="37">
        <v>18678870</v>
      </c>
      <c r="N226" s="34">
        <f t="shared" ca="1" si="15"/>
        <v>0</v>
      </c>
      <c r="O226" s="34" t="str">
        <f t="shared" ca="1" si="16"/>
        <v>Current</v>
      </c>
      <c r="P226" s="35">
        <f t="shared" si="17"/>
        <v>9.9863715874079907E-4</v>
      </c>
      <c r="Q226" s="36">
        <f t="shared" si="18"/>
        <v>0.33333333333333331</v>
      </c>
      <c r="R226" s="34" t="str">
        <f t="shared" si="19"/>
        <v>&gt;5M</v>
      </c>
    </row>
    <row r="227" spans="4:18">
      <c r="D227" s="25" t="s">
        <v>390</v>
      </c>
      <c r="E227" s="25" t="s">
        <v>391</v>
      </c>
      <c r="F227" s="25" t="s">
        <v>601</v>
      </c>
      <c r="G227" s="26">
        <v>45982</v>
      </c>
      <c r="H227" s="26">
        <v>45950</v>
      </c>
      <c r="I227" s="37">
        <v>7180654</v>
      </c>
      <c r="J227" s="25" t="s">
        <v>133</v>
      </c>
      <c r="K227" s="25" t="s">
        <v>125</v>
      </c>
      <c r="L227" s="25" t="s">
        <v>95</v>
      </c>
      <c r="M227" s="37">
        <v>28722616</v>
      </c>
      <c r="N227" s="34">
        <f t="shared" ca="1" si="15"/>
        <v>133</v>
      </c>
      <c r="O227" s="34" t="str">
        <f t="shared" ca="1" si="16"/>
        <v>90+</v>
      </c>
      <c r="P227" s="35">
        <f t="shared" si="17"/>
        <v>1.1517079847647243E-3</v>
      </c>
      <c r="Q227" s="36">
        <f t="shared" si="18"/>
        <v>0.25</v>
      </c>
      <c r="R227" s="34" t="str">
        <f t="shared" si="19"/>
        <v>&gt;5M</v>
      </c>
    </row>
    <row r="228" spans="4:18">
      <c r="D228" s="25" t="s">
        <v>135</v>
      </c>
      <c r="E228" s="25" t="s">
        <v>136</v>
      </c>
      <c r="F228" s="25" t="s">
        <v>602</v>
      </c>
      <c r="G228" s="26">
        <v>45827</v>
      </c>
      <c r="H228" s="26">
        <v>45928</v>
      </c>
      <c r="I228" s="37">
        <v>3386421</v>
      </c>
      <c r="J228" s="25" t="s">
        <v>52</v>
      </c>
      <c r="K228" s="25" t="s">
        <v>89</v>
      </c>
      <c r="L228" s="25" t="s">
        <v>95</v>
      </c>
      <c r="M228" s="37">
        <v>10159263</v>
      </c>
      <c r="N228" s="34">
        <f t="shared" ca="1" si="15"/>
        <v>155</v>
      </c>
      <c r="O228" s="34" t="str">
        <f t="shared" ca="1" si="16"/>
        <v>90+</v>
      </c>
      <c r="P228" s="35">
        <f t="shared" si="17"/>
        <v>5.4314942698463703E-4</v>
      </c>
      <c r="Q228" s="36">
        <f t="shared" si="18"/>
        <v>0.33333333333333331</v>
      </c>
      <c r="R228" s="34" t="str">
        <f t="shared" si="19"/>
        <v>2M-5M</v>
      </c>
    </row>
    <row r="229" spans="4:18">
      <c r="D229" s="25" t="s">
        <v>318</v>
      </c>
      <c r="E229" s="25" t="s">
        <v>319</v>
      </c>
      <c r="F229" s="25" t="s">
        <v>603</v>
      </c>
      <c r="G229" s="26">
        <v>45883</v>
      </c>
      <c r="H229" s="26">
        <v>45970</v>
      </c>
      <c r="I229" s="37">
        <v>6359517</v>
      </c>
      <c r="J229" s="25" t="s">
        <v>52</v>
      </c>
      <c r="K229" s="25" t="s">
        <v>56</v>
      </c>
      <c r="L229" s="25" t="s">
        <v>114</v>
      </c>
      <c r="M229" s="37">
        <v>25438068</v>
      </c>
      <c r="N229" s="34">
        <f t="shared" ca="1" si="15"/>
        <v>113</v>
      </c>
      <c r="O229" s="34" t="str">
        <f t="shared" ca="1" si="16"/>
        <v>90+</v>
      </c>
      <c r="P229" s="35">
        <f t="shared" si="17"/>
        <v>1.020005490885232E-3</v>
      </c>
      <c r="Q229" s="36">
        <f t="shared" si="18"/>
        <v>0.25</v>
      </c>
      <c r="R229" s="34" t="str">
        <f t="shared" si="19"/>
        <v>&gt;5M</v>
      </c>
    </row>
    <row r="230" spans="4:18">
      <c r="D230" s="25" t="s">
        <v>412</v>
      </c>
      <c r="E230" s="25" t="s">
        <v>413</v>
      </c>
      <c r="F230" s="25" t="s">
        <v>604</v>
      </c>
      <c r="G230" s="26">
        <v>45809</v>
      </c>
      <c r="H230" s="26">
        <v>46076</v>
      </c>
      <c r="I230" s="37">
        <v>4817488</v>
      </c>
      <c r="J230" s="25" t="s">
        <v>52</v>
      </c>
      <c r="K230" s="25" t="s">
        <v>94</v>
      </c>
      <c r="L230" s="25" t="s">
        <v>90</v>
      </c>
      <c r="M230" s="37">
        <v>48174880</v>
      </c>
      <c r="N230" s="34">
        <f t="shared" ca="1" si="15"/>
        <v>7</v>
      </c>
      <c r="O230" s="34" t="str">
        <f t="shared" ca="1" si="16"/>
        <v>1-30</v>
      </c>
      <c r="P230" s="35">
        <f t="shared" si="17"/>
        <v>7.7267883901776103E-4</v>
      </c>
      <c r="Q230" s="36">
        <f t="shared" si="18"/>
        <v>0.1</v>
      </c>
      <c r="R230" s="34" t="str">
        <f t="shared" si="19"/>
        <v>2M-5M</v>
      </c>
    </row>
    <row r="231" spans="4:18">
      <c r="D231" s="25" t="s">
        <v>218</v>
      </c>
      <c r="E231" s="25" t="s">
        <v>219</v>
      </c>
      <c r="F231" s="25" t="s">
        <v>605</v>
      </c>
      <c r="G231" s="26">
        <v>45932</v>
      </c>
      <c r="H231" s="26">
        <v>45971</v>
      </c>
      <c r="I231" s="37">
        <v>6450940</v>
      </c>
      <c r="J231" s="25" t="s">
        <v>133</v>
      </c>
      <c r="K231" s="25" t="s">
        <v>94</v>
      </c>
      <c r="L231" s="25" t="s">
        <v>121</v>
      </c>
      <c r="M231" s="37">
        <v>19352820</v>
      </c>
      <c r="N231" s="34">
        <f t="shared" ca="1" si="15"/>
        <v>112</v>
      </c>
      <c r="O231" s="34" t="str">
        <f t="shared" ca="1" si="16"/>
        <v>90+</v>
      </c>
      <c r="P231" s="35">
        <f t="shared" si="17"/>
        <v>1.0346688626465151E-3</v>
      </c>
      <c r="Q231" s="36">
        <f t="shared" si="18"/>
        <v>0.33333333333333331</v>
      </c>
      <c r="R231" s="34" t="str">
        <f t="shared" si="19"/>
        <v>&gt;5M</v>
      </c>
    </row>
    <row r="232" spans="4:18">
      <c r="D232" s="25" t="s">
        <v>606</v>
      </c>
      <c r="E232" s="25" t="s">
        <v>607</v>
      </c>
      <c r="F232" s="25" t="s">
        <v>608</v>
      </c>
      <c r="G232" s="26">
        <v>45888</v>
      </c>
      <c r="H232" s="26">
        <v>45903</v>
      </c>
      <c r="I232" s="37">
        <v>5646890</v>
      </c>
      <c r="J232" s="25" t="s">
        <v>52</v>
      </c>
      <c r="K232" s="25" t="s">
        <v>94</v>
      </c>
      <c r="L232" s="25" t="s">
        <v>95</v>
      </c>
      <c r="M232" s="37">
        <v>22587560</v>
      </c>
      <c r="N232" s="34">
        <f t="shared" ca="1" si="15"/>
        <v>180</v>
      </c>
      <c r="O232" s="34" t="str">
        <f t="shared" ca="1" si="16"/>
        <v>90+</v>
      </c>
      <c r="P232" s="35">
        <f t="shared" si="17"/>
        <v>9.0570695957333045E-4</v>
      </c>
      <c r="Q232" s="36">
        <f t="shared" si="18"/>
        <v>0.25</v>
      </c>
      <c r="R232" s="34" t="str">
        <f t="shared" si="19"/>
        <v>&gt;5M</v>
      </c>
    </row>
    <row r="233" spans="4:18">
      <c r="D233" s="25" t="s">
        <v>609</v>
      </c>
      <c r="E233" s="25" t="s">
        <v>610</v>
      </c>
      <c r="F233" s="25" t="s">
        <v>611</v>
      </c>
      <c r="G233" s="26">
        <v>45909</v>
      </c>
      <c r="H233" s="26">
        <v>46061</v>
      </c>
      <c r="I233" s="37">
        <v>1639692</v>
      </c>
      <c r="J233" s="25" t="s">
        <v>52</v>
      </c>
      <c r="K233" s="25" t="s">
        <v>94</v>
      </c>
      <c r="L233" s="25" t="s">
        <v>90</v>
      </c>
      <c r="M233" s="37">
        <v>14757228</v>
      </c>
      <c r="N233" s="34">
        <f t="shared" ca="1" si="15"/>
        <v>22</v>
      </c>
      <c r="O233" s="34" t="str">
        <f t="shared" ca="1" si="16"/>
        <v>1-30</v>
      </c>
      <c r="P233" s="35">
        <f t="shared" si="17"/>
        <v>2.6299085973991229E-4</v>
      </c>
      <c r="Q233" s="36">
        <f t="shared" si="18"/>
        <v>0.1111111111111111</v>
      </c>
      <c r="R233" s="34" t="str">
        <f t="shared" si="19"/>
        <v>500K-2M</v>
      </c>
    </row>
    <row r="234" spans="4:18">
      <c r="D234" s="25" t="s">
        <v>612</v>
      </c>
      <c r="E234" s="25" t="s">
        <v>613</v>
      </c>
      <c r="F234" s="25" t="s">
        <v>614</v>
      </c>
      <c r="G234" s="26">
        <v>45841</v>
      </c>
      <c r="H234" s="26">
        <v>45941</v>
      </c>
      <c r="I234" s="37">
        <v>6960037</v>
      </c>
      <c r="J234" s="25" t="s">
        <v>99</v>
      </c>
      <c r="K234" s="25" t="s">
        <v>125</v>
      </c>
      <c r="L234" s="25" t="s">
        <v>110</v>
      </c>
      <c r="M234" s="37">
        <v>20880111</v>
      </c>
      <c r="N234" s="34">
        <f t="shared" ca="1" si="15"/>
        <v>142</v>
      </c>
      <c r="O234" s="34" t="str">
        <f t="shared" ca="1" si="16"/>
        <v>90+</v>
      </c>
      <c r="P234" s="35">
        <f t="shared" si="17"/>
        <v>1.116323135352005E-3</v>
      </c>
      <c r="Q234" s="36">
        <f t="shared" si="18"/>
        <v>0.33333333333333331</v>
      </c>
      <c r="R234" s="34" t="str">
        <f t="shared" si="19"/>
        <v>&gt;5M</v>
      </c>
    </row>
    <row r="235" spans="4:18">
      <c r="D235" s="25" t="s">
        <v>103</v>
      </c>
      <c r="E235" s="25" t="s">
        <v>104</v>
      </c>
      <c r="F235" s="25" t="s">
        <v>615</v>
      </c>
      <c r="G235" s="26">
        <v>45892</v>
      </c>
      <c r="H235" s="26">
        <v>46013</v>
      </c>
      <c r="I235" s="37">
        <v>7155624</v>
      </c>
      <c r="J235" s="25" t="s">
        <v>52</v>
      </c>
      <c r="K235" s="25" t="s">
        <v>125</v>
      </c>
      <c r="L235" s="25" t="s">
        <v>138</v>
      </c>
      <c r="M235" s="37">
        <v>35778120</v>
      </c>
      <c r="N235" s="34">
        <f t="shared" ca="1" si="15"/>
        <v>70</v>
      </c>
      <c r="O235" s="34" t="str">
        <f t="shared" ca="1" si="16"/>
        <v>61-90</v>
      </c>
      <c r="P235" s="35">
        <f t="shared" si="17"/>
        <v>1.1476934129919217E-3</v>
      </c>
      <c r="Q235" s="36">
        <f t="shared" si="18"/>
        <v>0.2</v>
      </c>
      <c r="R235" s="34" t="str">
        <f t="shared" si="19"/>
        <v>&gt;5M</v>
      </c>
    </row>
    <row r="236" spans="4:18">
      <c r="D236" s="25" t="s">
        <v>616</v>
      </c>
      <c r="E236" s="25" t="s">
        <v>617</v>
      </c>
      <c r="F236" s="25" t="s">
        <v>618</v>
      </c>
      <c r="G236" s="26">
        <v>45920</v>
      </c>
      <c r="H236" s="26">
        <v>45917</v>
      </c>
      <c r="I236" s="37">
        <v>6892935</v>
      </c>
      <c r="J236" s="25" t="s">
        <v>99</v>
      </c>
      <c r="K236" s="25" t="s">
        <v>56</v>
      </c>
      <c r="L236" s="25" t="s">
        <v>95</v>
      </c>
      <c r="M236" s="37">
        <v>68929350</v>
      </c>
      <c r="N236" s="34">
        <f t="shared" ca="1" si="15"/>
        <v>166</v>
      </c>
      <c r="O236" s="34" t="str">
        <f t="shared" ca="1" si="16"/>
        <v>90+</v>
      </c>
      <c r="P236" s="35">
        <f t="shared" si="17"/>
        <v>1.1055606185682021E-3</v>
      </c>
      <c r="Q236" s="36">
        <f t="shared" si="18"/>
        <v>0.1</v>
      </c>
      <c r="R236" s="34" t="str">
        <f t="shared" si="19"/>
        <v>&gt;5M</v>
      </c>
    </row>
    <row r="237" spans="4:18">
      <c r="D237" s="25" t="s">
        <v>248</v>
      </c>
      <c r="E237" s="25" t="s">
        <v>249</v>
      </c>
      <c r="F237" s="25" t="s">
        <v>619</v>
      </c>
      <c r="G237" s="26">
        <v>45901</v>
      </c>
      <c r="H237" s="26">
        <v>46075</v>
      </c>
      <c r="I237" s="37">
        <v>5724719</v>
      </c>
      <c r="J237" s="25" t="s">
        <v>99</v>
      </c>
      <c r="K237" s="25" t="s">
        <v>134</v>
      </c>
      <c r="L237" s="25" t="s">
        <v>110</v>
      </c>
      <c r="M237" s="37">
        <v>45797752</v>
      </c>
      <c r="N237" s="34">
        <f t="shared" ca="1" si="15"/>
        <v>8</v>
      </c>
      <c r="O237" s="34" t="str">
        <f t="shared" ca="1" si="16"/>
        <v>1-30</v>
      </c>
      <c r="P237" s="35">
        <f t="shared" si="17"/>
        <v>9.1818998420399134E-4</v>
      </c>
      <c r="Q237" s="36">
        <f t="shared" si="18"/>
        <v>0.125</v>
      </c>
      <c r="R237" s="34" t="str">
        <f t="shared" si="19"/>
        <v>&gt;5M</v>
      </c>
    </row>
    <row r="238" spans="4:18">
      <c r="D238" s="25" t="s">
        <v>156</v>
      </c>
      <c r="E238" s="25" t="s">
        <v>157</v>
      </c>
      <c r="F238" s="25" t="s">
        <v>620</v>
      </c>
      <c r="G238" s="26">
        <v>45894</v>
      </c>
      <c r="H238" s="26">
        <v>46012</v>
      </c>
      <c r="I238" s="37">
        <v>5582715</v>
      </c>
      <c r="J238" s="25" t="s">
        <v>133</v>
      </c>
      <c r="K238" s="25" t="s">
        <v>94</v>
      </c>
      <c r="L238" s="25" t="s">
        <v>95</v>
      </c>
      <c r="M238" s="37">
        <v>33496290</v>
      </c>
      <c r="N238" s="34">
        <f t="shared" ca="1" si="15"/>
        <v>71</v>
      </c>
      <c r="O238" s="34" t="str">
        <f t="shared" ca="1" si="16"/>
        <v>61-90</v>
      </c>
      <c r="P238" s="35">
        <f t="shared" si="17"/>
        <v>8.9541390549743762E-4</v>
      </c>
      <c r="Q238" s="36">
        <f t="shared" si="18"/>
        <v>0.16666666666666666</v>
      </c>
      <c r="R238" s="34" t="str">
        <f t="shared" si="19"/>
        <v>&gt;5M</v>
      </c>
    </row>
    <row r="239" spans="4:18">
      <c r="D239" s="25" t="s">
        <v>373</v>
      </c>
      <c r="E239" s="25" t="s">
        <v>374</v>
      </c>
      <c r="F239" s="25" t="s">
        <v>621</v>
      </c>
      <c r="G239" s="26">
        <v>45900</v>
      </c>
      <c r="H239" s="26">
        <v>45908</v>
      </c>
      <c r="I239" s="37">
        <v>1045979</v>
      </c>
      <c r="J239" s="25" t="s">
        <v>52</v>
      </c>
      <c r="K239" s="25" t="s">
        <v>109</v>
      </c>
      <c r="L239" s="25" t="s">
        <v>121</v>
      </c>
      <c r="M239" s="37">
        <v>2091958</v>
      </c>
      <c r="N239" s="34">
        <f t="shared" ca="1" si="15"/>
        <v>175</v>
      </c>
      <c r="O239" s="34" t="str">
        <f t="shared" ca="1" si="16"/>
        <v>90+</v>
      </c>
      <c r="P239" s="35">
        <f t="shared" si="17"/>
        <v>1.6776499274247464E-4</v>
      </c>
      <c r="Q239" s="36">
        <f t="shared" si="18"/>
        <v>0.5</v>
      </c>
      <c r="R239" s="34" t="str">
        <f t="shared" si="19"/>
        <v>500K-2M</v>
      </c>
    </row>
    <row r="240" spans="4:18">
      <c r="D240" s="25" t="s">
        <v>622</v>
      </c>
      <c r="E240" s="25" t="s">
        <v>623</v>
      </c>
      <c r="F240" s="25" t="s">
        <v>624</v>
      </c>
      <c r="G240" s="26">
        <v>45847</v>
      </c>
      <c r="H240" s="26">
        <v>45928</v>
      </c>
      <c r="I240" s="37">
        <v>1703193</v>
      </c>
      <c r="J240" s="25" t="s">
        <v>133</v>
      </c>
      <c r="K240" s="25" t="s">
        <v>94</v>
      </c>
      <c r="L240" s="25" t="s">
        <v>90</v>
      </c>
      <c r="M240" s="37">
        <v>15328737</v>
      </c>
      <c r="N240" s="34">
        <f t="shared" ca="1" si="15"/>
        <v>155</v>
      </c>
      <c r="O240" s="34" t="str">
        <f t="shared" ca="1" si="16"/>
        <v>90+</v>
      </c>
      <c r="P240" s="35">
        <f t="shared" si="17"/>
        <v>2.7317581068456783E-4</v>
      </c>
      <c r="Q240" s="36">
        <f t="shared" si="18"/>
        <v>0.1111111111111111</v>
      </c>
      <c r="R240" s="34" t="str">
        <f t="shared" si="19"/>
        <v>500K-2M</v>
      </c>
    </row>
    <row r="241" spans="4:18">
      <c r="D241" s="25" t="s">
        <v>419</v>
      </c>
      <c r="E241" s="25" t="s">
        <v>420</v>
      </c>
      <c r="F241" s="25" t="s">
        <v>625</v>
      </c>
      <c r="G241" s="26">
        <v>45815</v>
      </c>
      <c r="H241" s="26">
        <v>45927</v>
      </c>
      <c r="I241" s="37">
        <v>5914892</v>
      </c>
      <c r="J241" s="25" t="s">
        <v>99</v>
      </c>
      <c r="K241" s="25" t="s">
        <v>109</v>
      </c>
      <c r="L241" s="25" t="s">
        <v>95</v>
      </c>
      <c r="M241" s="37">
        <v>17744676</v>
      </c>
      <c r="N241" s="34">
        <f t="shared" ca="1" si="15"/>
        <v>156</v>
      </c>
      <c r="O241" s="34" t="str">
        <f t="shared" ca="1" si="16"/>
        <v>90+</v>
      </c>
      <c r="P241" s="35">
        <f t="shared" si="17"/>
        <v>9.4869190820515636E-4</v>
      </c>
      <c r="Q241" s="36">
        <f t="shared" si="18"/>
        <v>0.33333333333333331</v>
      </c>
      <c r="R241" s="34" t="str">
        <f t="shared" si="19"/>
        <v>&gt;5M</v>
      </c>
    </row>
    <row r="242" spans="4:18">
      <c r="D242" s="25" t="s">
        <v>626</v>
      </c>
      <c r="E242" s="25" t="s">
        <v>627</v>
      </c>
      <c r="F242" s="25" t="s">
        <v>628</v>
      </c>
      <c r="G242" s="26">
        <v>46035</v>
      </c>
      <c r="H242" s="26">
        <v>46055</v>
      </c>
      <c r="I242" s="37">
        <v>937919</v>
      </c>
      <c r="J242" s="25" t="s">
        <v>133</v>
      </c>
      <c r="K242" s="25" t="s">
        <v>109</v>
      </c>
      <c r="L242" s="25" t="s">
        <v>114</v>
      </c>
      <c r="M242" s="37">
        <v>9379190</v>
      </c>
      <c r="N242" s="34">
        <f t="shared" ca="1" si="15"/>
        <v>28</v>
      </c>
      <c r="O242" s="34" t="str">
        <f t="shared" ca="1" si="16"/>
        <v>1-30</v>
      </c>
      <c r="P242" s="35">
        <f t="shared" si="17"/>
        <v>1.504332058559771E-4</v>
      </c>
      <c r="Q242" s="36">
        <f t="shared" si="18"/>
        <v>0.1</v>
      </c>
      <c r="R242" s="34" t="str">
        <f t="shared" si="19"/>
        <v>500K-2M</v>
      </c>
    </row>
    <row r="243" spans="4:18">
      <c r="D243" s="25" t="s">
        <v>516</v>
      </c>
      <c r="E243" s="25" t="s">
        <v>517</v>
      </c>
      <c r="F243" s="25" t="s">
        <v>629</v>
      </c>
      <c r="G243" s="26">
        <v>45827</v>
      </c>
      <c r="H243" s="26">
        <v>45939</v>
      </c>
      <c r="I243" s="37">
        <v>5400297</v>
      </c>
      <c r="J243" s="25" t="s">
        <v>52</v>
      </c>
      <c r="K243" s="25" t="s">
        <v>125</v>
      </c>
      <c r="L243" s="25" t="s">
        <v>138</v>
      </c>
      <c r="M243" s="37">
        <v>27001485</v>
      </c>
      <c r="N243" s="34">
        <f t="shared" ca="1" si="15"/>
        <v>144</v>
      </c>
      <c r="O243" s="34" t="str">
        <f t="shared" ca="1" si="16"/>
        <v>90+</v>
      </c>
      <c r="P243" s="35">
        <f t="shared" si="17"/>
        <v>8.661558090671108E-4</v>
      </c>
      <c r="Q243" s="36">
        <f t="shared" si="18"/>
        <v>0.2</v>
      </c>
      <c r="R243" s="34" t="str">
        <f t="shared" si="19"/>
        <v>&gt;5M</v>
      </c>
    </row>
    <row r="244" spans="4:18">
      <c r="D244" s="25" t="s">
        <v>477</v>
      </c>
      <c r="E244" s="25" t="s">
        <v>478</v>
      </c>
      <c r="F244" s="25" t="s">
        <v>630</v>
      </c>
      <c r="G244" s="26">
        <v>45985</v>
      </c>
      <c r="H244" s="26">
        <v>45921</v>
      </c>
      <c r="I244" s="37">
        <v>7702324</v>
      </c>
      <c r="J244" s="25" t="s">
        <v>52</v>
      </c>
      <c r="K244" s="25" t="s">
        <v>134</v>
      </c>
      <c r="L244" s="25" t="s">
        <v>121</v>
      </c>
      <c r="M244" s="37">
        <v>61618592</v>
      </c>
      <c r="N244" s="34">
        <f t="shared" ca="1" si="15"/>
        <v>162</v>
      </c>
      <c r="O244" s="34" t="str">
        <f t="shared" ca="1" si="16"/>
        <v>90+</v>
      </c>
      <c r="P244" s="35">
        <f t="shared" si="17"/>
        <v>1.2353788459999562E-3</v>
      </c>
      <c r="Q244" s="36">
        <f t="shared" si="18"/>
        <v>0.125</v>
      </c>
      <c r="R244" s="34" t="str">
        <f t="shared" si="19"/>
        <v>&gt;5M</v>
      </c>
    </row>
    <row r="245" spans="4:18">
      <c r="D245" s="25" t="s">
        <v>156</v>
      </c>
      <c r="E245" s="25" t="s">
        <v>157</v>
      </c>
      <c r="F245" s="25" t="s">
        <v>631</v>
      </c>
      <c r="G245" s="26">
        <v>45857</v>
      </c>
      <c r="H245" s="26">
        <v>46106</v>
      </c>
      <c r="I245" s="37">
        <v>5197510</v>
      </c>
      <c r="J245" s="25" t="s">
        <v>52</v>
      </c>
      <c r="K245" s="25" t="s">
        <v>109</v>
      </c>
      <c r="L245" s="25" t="s">
        <v>95</v>
      </c>
      <c r="M245" s="37">
        <v>20790040</v>
      </c>
      <c r="N245" s="34">
        <f t="shared" ca="1" si="15"/>
        <v>0</v>
      </c>
      <c r="O245" s="34" t="str">
        <f t="shared" ca="1" si="16"/>
        <v>Current</v>
      </c>
      <c r="P245" s="35">
        <f t="shared" si="17"/>
        <v>8.3363072052970407E-4</v>
      </c>
      <c r="Q245" s="36">
        <f t="shared" si="18"/>
        <v>0.25</v>
      </c>
      <c r="R245" s="34" t="str">
        <f t="shared" si="19"/>
        <v>&gt;5M</v>
      </c>
    </row>
    <row r="246" spans="4:18">
      <c r="D246" s="25" t="s">
        <v>632</v>
      </c>
      <c r="E246" s="25" t="s">
        <v>633</v>
      </c>
      <c r="F246" s="25" t="s">
        <v>634</v>
      </c>
      <c r="G246" s="26">
        <v>45817</v>
      </c>
      <c r="H246" s="26">
        <v>45916</v>
      </c>
      <c r="I246" s="37">
        <v>6144703</v>
      </c>
      <c r="J246" s="25" t="s">
        <v>52</v>
      </c>
      <c r="K246" s="25" t="s">
        <v>89</v>
      </c>
      <c r="L246" s="25" t="s">
        <v>114</v>
      </c>
      <c r="M246" s="37">
        <v>30723515</v>
      </c>
      <c r="N246" s="34">
        <f t="shared" ca="1" si="15"/>
        <v>167</v>
      </c>
      <c r="O246" s="34" t="str">
        <f t="shared" ca="1" si="16"/>
        <v>90+</v>
      </c>
      <c r="P246" s="35">
        <f t="shared" si="17"/>
        <v>9.8555138697780948E-4</v>
      </c>
      <c r="Q246" s="36">
        <f t="shared" si="18"/>
        <v>0.2</v>
      </c>
      <c r="R246" s="34" t="str">
        <f t="shared" si="19"/>
        <v>&gt;5M</v>
      </c>
    </row>
    <row r="247" spans="4:18">
      <c r="D247" s="25" t="s">
        <v>635</v>
      </c>
      <c r="E247" s="25" t="s">
        <v>636</v>
      </c>
      <c r="F247" s="25" t="s">
        <v>637</v>
      </c>
      <c r="G247" s="26">
        <v>46042</v>
      </c>
      <c r="H247" s="26">
        <v>46067</v>
      </c>
      <c r="I247" s="37">
        <v>577083</v>
      </c>
      <c r="J247" s="25" t="s">
        <v>99</v>
      </c>
      <c r="K247" s="25" t="s">
        <v>109</v>
      </c>
      <c r="L247" s="25" t="s">
        <v>90</v>
      </c>
      <c r="M247" s="37">
        <v>5193747</v>
      </c>
      <c r="N247" s="34">
        <f t="shared" ca="1" si="15"/>
        <v>16</v>
      </c>
      <c r="O247" s="34" t="str">
        <f t="shared" ca="1" si="16"/>
        <v>1-30</v>
      </c>
      <c r="P247" s="35">
        <f t="shared" si="17"/>
        <v>9.2558574605040338E-5</v>
      </c>
      <c r="Q247" s="36">
        <f t="shared" si="18"/>
        <v>0.1111111111111111</v>
      </c>
      <c r="R247" s="34" t="str">
        <f t="shared" si="19"/>
        <v>500K-2M</v>
      </c>
    </row>
    <row r="248" spans="4:18">
      <c r="D248" s="25" t="s">
        <v>267</v>
      </c>
      <c r="E248" s="25" t="s">
        <v>268</v>
      </c>
      <c r="F248" s="25" t="s">
        <v>638</v>
      </c>
      <c r="G248" s="26">
        <v>46047</v>
      </c>
      <c r="H248" s="26">
        <v>46028</v>
      </c>
      <c r="I248" s="37">
        <v>2037398</v>
      </c>
      <c r="J248" s="25" t="s">
        <v>99</v>
      </c>
      <c r="K248" s="25" t="s">
        <v>125</v>
      </c>
      <c r="L248" s="25" t="s">
        <v>110</v>
      </c>
      <c r="M248" s="37">
        <v>18336582</v>
      </c>
      <c r="N248" s="34">
        <f t="shared" ca="1" si="15"/>
        <v>55</v>
      </c>
      <c r="O248" s="34" t="str">
        <f t="shared" ca="1" si="16"/>
        <v>31-60</v>
      </c>
      <c r="P248" s="35">
        <f t="shared" si="17"/>
        <v>3.2677908512841302E-4</v>
      </c>
      <c r="Q248" s="36">
        <f t="shared" si="18"/>
        <v>0.1111111111111111</v>
      </c>
      <c r="R248" s="34" t="str">
        <f t="shared" si="19"/>
        <v>2M-5M</v>
      </c>
    </row>
    <row r="249" spans="4:18">
      <c r="D249" s="25" t="s">
        <v>639</v>
      </c>
      <c r="E249" s="25" t="s">
        <v>640</v>
      </c>
      <c r="F249" s="25" t="s">
        <v>641</v>
      </c>
      <c r="G249" s="26">
        <v>45726</v>
      </c>
      <c r="H249" s="26">
        <v>45975</v>
      </c>
      <c r="I249" s="37">
        <v>7346177</v>
      </c>
      <c r="J249" s="25" t="s">
        <v>99</v>
      </c>
      <c r="K249" s="25" t="s">
        <v>125</v>
      </c>
      <c r="L249" s="25" t="s">
        <v>110</v>
      </c>
      <c r="M249" s="37">
        <v>44077062</v>
      </c>
      <c r="N249" s="34">
        <f t="shared" ca="1" si="15"/>
        <v>108</v>
      </c>
      <c r="O249" s="34" t="str">
        <f t="shared" ca="1" si="16"/>
        <v>90+</v>
      </c>
      <c r="P249" s="35">
        <f t="shared" si="17"/>
        <v>1.17825628534601E-3</v>
      </c>
      <c r="Q249" s="36">
        <f t="shared" si="18"/>
        <v>0.16666666666666666</v>
      </c>
      <c r="R249" s="34" t="str">
        <f t="shared" si="19"/>
        <v>&gt;5M</v>
      </c>
    </row>
    <row r="250" spans="4:18">
      <c r="D250" s="25" t="s">
        <v>642</v>
      </c>
      <c r="E250" s="25" t="s">
        <v>643</v>
      </c>
      <c r="F250" s="25" t="s">
        <v>644</v>
      </c>
      <c r="G250" s="26">
        <v>45733</v>
      </c>
      <c r="H250" s="26">
        <v>45960</v>
      </c>
      <c r="I250" s="37">
        <v>5758070</v>
      </c>
      <c r="J250" s="25" t="s">
        <v>99</v>
      </c>
      <c r="K250" s="25" t="s">
        <v>94</v>
      </c>
      <c r="L250" s="25" t="s">
        <v>110</v>
      </c>
      <c r="M250" s="37">
        <v>34548420</v>
      </c>
      <c r="N250" s="34">
        <f t="shared" ca="1" si="15"/>
        <v>123</v>
      </c>
      <c r="O250" s="34" t="str">
        <f t="shared" ca="1" si="16"/>
        <v>90+</v>
      </c>
      <c r="P250" s="35">
        <f t="shared" si="17"/>
        <v>9.2353916451540696E-4</v>
      </c>
      <c r="Q250" s="36">
        <f t="shared" si="18"/>
        <v>0.16666666666666666</v>
      </c>
      <c r="R250" s="34" t="str">
        <f t="shared" si="19"/>
        <v>&gt;5M</v>
      </c>
    </row>
    <row r="251" spans="4:18">
      <c r="D251" s="25" t="s">
        <v>645</v>
      </c>
      <c r="E251" s="25" t="s">
        <v>646</v>
      </c>
      <c r="F251" s="25" t="s">
        <v>647</v>
      </c>
      <c r="G251" s="26">
        <v>45897</v>
      </c>
      <c r="H251" s="26">
        <v>46103</v>
      </c>
      <c r="I251" s="37">
        <v>3939861</v>
      </c>
      <c r="J251" s="25" t="s">
        <v>99</v>
      </c>
      <c r="K251" s="25" t="s">
        <v>94</v>
      </c>
      <c r="L251" s="25" t="s">
        <v>114</v>
      </c>
      <c r="M251" s="37">
        <v>31518888</v>
      </c>
      <c r="N251" s="34">
        <f t="shared" ca="1" si="15"/>
        <v>0</v>
      </c>
      <c r="O251" s="34" t="str">
        <f t="shared" ca="1" si="16"/>
        <v>Current</v>
      </c>
      <c r="P251" s="35">
        <f t="shared" si="17"/>
        <v>6.3191589130504424E-4</v>
      </c>
      <c r="Q251" s="36">
        <f t="shared" si="18"/>
        <v>0.125</v>
      </c>
      <c r="R251" s="34" t="str">
        <f t="shared" si="19"/>
        <v>2M-5M</v>
      </c>
    </row>
    <row r="252" spans="4:18">
      <c r="D252" s="25" t="s">
        <v>171</v>
      </c>
      <c r="E252" s="25" t="s">
        <v>172</v>
      </c>
      <c r="F252" s="25" t="s">
        <v>648</v>
      </c>
      <c r="G252" s="26">
        <v>45918</v>
      </c>
      <c r="H252" s="26">
        <v>45912</v>
      </c>
      <c r="I252" s="37">
        <v>1549478</v>
      </c>
      <c r="J252" s="25" t="s">
        <v>99</v>
      </c>
      <c r="K252" s="25" t="s">
        <v>89</v>
      </c>
      <c r="L252" s="25" t="s">
        <v>121</v>
      </c>
      <c r="M252" s="37">
        <v>12395824</v>
      </c>
      <c r="N252" s="34">
        <f t="shared" ca="1" si="15"/>
        <v>171</v>
      </c>
      <c r="O252" s="34" t="str">
        <f t="shared" ca="1" si="16"/>
        <v>90+</v>
      </c>
      <c r="P252" s="35">
        <f t="shared" si="17"/>
        <v>2.4852139997516597E-4</v>
      </c>
      <c r="Q252" s="36">
        <f t="shared" si="18"/>
        <v>0.125</v>
      </c>
      <c r="R252" s="34" t="str">
        <f t="shared" si="19"/>
        <v>500K-2M</v>
      </c>
    </row>
    <row r="253" spans="4:18">
      <c r="D253" s="25" t="s">
        <v>215</v>
      </c>
      <c r="E253" s="25" t="s">
        <v>216</v>
      </c>
      <c r="F253" s="25" t="s">
        <v>649</v>
      </c>
      <c r="G253" s="26">
        <v>45940</v>
      </c>
      <c r="H253" s="26">
        <v>45914</v>
      </c>
      <c r="I253" s="37">
        <v>5753418</v>
      </c>
      <c r="J253" s="25" t="s">
        <v>52</v>
      </c>
      <c r="K253" s="25" t="s">
        <v>56</v>
      </c>
      <c r="L253" s="25" t="s">
        <v>114</v>
      </c>
      <c r="M253" s="37">
        <v>34520508</v>
      </c>
      <c r="N253" s="34">
        <f t="shared" ca="1" si="15"/>
        <v>169</v>
      </c>
      <c r="O253" s="34" t="str">
        <f t="shared" ca="1" si="16"/>
        <v>90+</v>
      </c>
      <c r="P253" s="35">
        <f t="shared" si="17"/>
        <v>9.2279302836330648E-4</v>
      </c>
      <c r="Q253" s="36">
        <f t="shared" si="18"/>
        <v>0.16666666666666666</v>
      </c>
      <c r="R253" s="34" t="str">
        <f t="shared" si="19"/>
        <v>&gt;5M</v>
      </c>
    </row>
    <row r="254" spans="4:18">
      <c r="D254" s="25" t="s">
        <v>645</v>
      </c>
      <c r="E254" s="25" t="s">
        <v>646</v>
      </c>
      <c r="F254" s="25" t="s">
        <v>650</v>
      </c>
      <c r="G254" s="26">
        <v>45985</v>
      </c>
      <c r="H254" s="26">
        <v>46007</v>
      </c>
      <c r="I254" s="37">
        <v>3858855</v>
      </c>
      <c r="J254" s="25" t="s">
        <v>52</v>
      </c>
      <c r="K254" s="25" t="s">
        <v>89</v>
      </c>
      <c r="L254" s="25" t="s">
        <v>110</v>
      </c>
      <c r="M254" s="37">
        <v>7717710</v>
      </c>
      <c r="N254" s="34">
        <f t="shared" ca="1" si="15"/>
        <v>76</v>
      </c>
      <c r="O254" s="34" t="str">
        <f t="shared" ca="1" si="16"/>
        <v>61-90</v>
      </c>
      <c r="P254" s="35">
        <f t="shared" si="17"/>
        <v>6.1892330636586579E-4</v>
      </c>
      <c r="Q254" s="36">
        <f t="shared" si="18"/>
        <v>0.5</v>
      </c>
      <c r="R254" s="34" t="str">
        <f t="shared" si="19"/>
        <v>2M-5M</v>
      </c>
    </row>
    <row r="255" spans="4:18">
      <c r="D255" s="25" t="s">
        <v>27</v>
      </c>
      <c r="E255" s="25" t="s">
        <v>651</v>
      </c>
      <c r="F255" s="25" t="s">
        <v>652</v>
      </c>
      <c r="G255" s="26">
        <v>45896</v>
      </c>
      <c r="H255" s="26">
        <v>46012</v>
      </c>
      <c r="I255" s="37">
        <v>1822057</v>
      </c>
      <c r="J255" s="25" t="s">
        <v>99</v>
      </c>
      <c r="K255" s="25" t="s">
        <v>109</v>
      </c>
      <c r="L255" s="25" t="s">
        <v>90</v>
      </c>
      <c r="M255" s="37">
        <v>18220570</v>
      </c>
      <c r="N255" s="34">
        <f t="shared" ca="1" si="15"/>
        <v>71</v>
      </c>
      <c r="O255" s="34" t="str">
        <f t="shared" ca="1" si="16"/>
        <v>61-90</v>
      </c>
      <c r="P255" s="35">
        <f t="shared" si="17"/>
        <v>2.9224045547891027E-4</v>
      </c>
      <c r="Q255" s="36">
        <f t="shared" si="18"/>
        <v>0.1</v>
      </c>
      <c r="R255" s="34" t="str">
        <f t="shared" si="19"/>
        <v>500K-2M</v>
      </c>
    </row>
    <row r="256" spans="4:18">
      <c r="D256" s="25" t="s">
        <v>569</v>
      </c>
      <c r="E256" s="25" t="s">
        <v>570</v>
      </c>
      <c r="F256" s="25" t="s">
        <v>653</v>
      </c>
      <c r="G256" s="26">
        <v>45956</v>
      </c>
      <c r="H256" s="26">
        <v>46041</v>
      </c>
      <c r="I256" s="37">
        <v>6386200</v>
      </c>
      <c r="J256" s="25" t="s">
        <v>52</v>
      </c>
      <c r="K256" s="25" t="s">
        <v>56</v>
      </c>
      <c r="L256" s="25" t="s">
        <v>110</v>
      </c>
      <c r="M256" s="37">
        <v>31931000</v>
      </c>
      <c r="N256" s="34">
        <f t="shared" ca="1" si="15"/>
        <v>42</v>
      </c>
      <c r="O256" s="34" t="str">
        <f t="shared" ca="1" si="16"/>
        <v>31-60</v>
      </c>
      <c r="P256" s="35">
        <f t="shared" si="17"/>
        <v>1.0242851879932499E-3</v>
      </c>
      <c r="Q256" s="36">
        <f t="shared" si="18"/>
        <v>0.2</v>
      </c>
      <c r="R256" s="34" t="str">
        <f t="shared" si="19"/>
        <v>&gt;5M</v>
      </c>
    </row>
    <row r="257" spans="4:18">
      <c r="D257" s="25" t="s">
        <v>100</v>
      </c>
      <c r="E257" s="25" t="s">
        <v>101</v>
      </c>
      <c r="F257" s="25" t="s">
        <v>654</v>
      </c>
      <c r="G257" s="26">
        <v>45742</v>
      </c>
      <c r="H257" s="26">
        <v>46025</v>
      </c>
      <c r="I257" s="37">
        <v>1965965</v>
      </c>
      <c r="J257" s="25" t="s">
        <v>52</v>
      </c>
      <c r="K257" s="25" t="s">
        <v>125</v>
      </c>
      <c r="L257" s="25" t="s">
        <v>121</v>
      </c>
      <c r="M257" s="37">
        <v>3931930</v>
      </c>
      <c r="N257" s="34">
        <f t="shared" ca="1" si="15"/>
        <v>58</v>
      </c>
      <c r="O257" s="34" t="str">
        <f t="shared" ca="1" si="16"/>
        <v>31-60</v>
      </c>
      <c r="P257" s="35">
        <f t="shared" si="17"/>
        <v>3.1532191751168921E-4</v>
      </c>
      <c r="Q257" s="36">
        <f t="shared" si="18"/>
        <v>0.5</v>
      </c>
      <c r="R257" s="34" t="str">
        <f t="shared" si="19"/>
        <v>500K-2M</v>
      </c>
    </row>
    <row r="258" spans="4:18">
      <c r="D258" s="25" t="s">
        <v>201</v>
      </c>
      <c r="E258" s="25" t="s">
        <v>202</v>
      </c>
      <c r="F258" s="25" t="s">
        <v>655</v>
      </c>
      <c r="G258" s="26">
        <v>45857</v>
      </c>
      <c r="H258" s="26">
        <v>45986</v>
      </c>
      <c r="I258" s="37">
        <v>7582600</v>
      </c>
      <c r="J258" s="25" t="s">
        <v>133</v>
      </c>
      <c r="K258" s="25" t="s">
        <v>56</v>
      </c>
      <c r="L258" s="25" t="s">
        <v>95</v>
      </c>
      <c r="M258" s="37">
        <v>37913000</v>
      </c>
      <c r="N258" s="34">
        <f t="shared" ca="1" si="15"/>
        <v>97</v>
      </c>
      <c r="O258" s="34" t="str">
        <f t="shared" ca="1" si="16"/>
        <v>90+</v>
      </c>
      <c r="P258" s="35">
        <f t="shared" si="17"/>
        <v>1.2161762654595246E-3</v>
      </c>
      <c r="Q258" s="36">
        <f t="shared" si="18"/>
        <v>0.2</v>
      </c>
      <c r="R258" s="34" t="str">
        <f t="shared" si="19"/>
        <v>&gt;5M</v>
      </c>
    </row>
    <row r="259" spans="4:18">
      <c r="D259" s="25" t="s">
        <v>606</v>
      </c>
      <c r="E259" s="25" t="s">
        <v>607</v>
      </c>
      <c r="F259" s="25" t="s">
        <v>656</v>
      </c>
      <c r="G259" s="26">
        <v>45755</v>
      </c>
      <c r="H259" s="26">
        <v>45920</v>
      </c>
      <c r="I259" s="37">
        <v>6835775</v>
      </c>
      <c r="J259" s="25" t="s">
        <v>52</v>
      </c>
      <c r="K259" s="25" t="s">
        <v>89</v>
      </c>
      <c r="L259" s="25" t="s">
        <v>121</v>
      </c>
      <c r="M259" s="37">
        <v>68357750</v>
      </c>
      <c r="N259" s="34">
        <f t="shared" ca="1" si="15"/>
        <v>163</v>
      </c>
      <c r="O259" s="34" t="str">
        <f t="shared" ca="1" si="16"/>
        <v>90+</v>
      </c>
      <c r="P259" s="35">
        <f t="shared" si="17"/>
        <v>1.0963927031653498E-3</v>
      </c>
      <c r="Q259" s="36">
        <f t="shared" si="18"/>
        <v>0.1</v>
      </c>
      <c r="R259" s="34" t="str">
        <f t="shared" si="19"/>
        <v>&gt;5M</v>
      </c>
    </row>
    <row r="260" spans="4:18">
      <c r="D260" s="25" t="s">
        <v>657</v>
      </c>
      <c r="E260" s="25" t="s">
        <v>658</v>
      </c>
      <c r="F260" s="25" t="s">
        <v>659</v>
      </c>
      <c r="G260" s="26">
        <v>45787</v>
      </c>
      <c r="H260" s="26">
        <v>46034</v>
      </c>
      <c r="I260" s="37">
        <v>3848214</v>
      </c>
      <c r="J260" s="25" t="s">
        <v>52</v>
      </c>
      <c r="K260" s="25" t="s">
        <v>94</v>
      </c>
      <c r="L260" s="25" t="s">
        <v>110</v>
      </c>
      <c r="M260" s="37">
        <v>26937498</v>
      </c>
      <c r="N260" s="34">
        <f t="shared" ca="1" si="15"/>
        <v>49</v>
      </c>
      <c r="O260" s="34" t="str">
        <f t="shared" ca="1" si="16"/>
        <v>31-60</v>
      </c>
      <c r="P260" s="35">
        <f t="shared" si="17"/>
        <v>6.1721659209361683E-4</v>
      </c>
      <c r="Q260" s="36">
        <f t="shared" si="18"/>
        <v>0.14285714285714285</v>
      </c>
      <c r="R260" s="34" t="str">
        <f t="shared" si="19"/>
        <v>2M-5M</v>
      </c>
    </row>
    <row r="261" spans="4:18">
      <c r="D261" s="25" t="s">
        <v>426</v>
      </c>
      <c r="E261" s="25" t="s">
        <v>427</v>
      </c>
      <c r="F261" s="25" t="s">
        <v>660</v>
      </c>
      <c r="G261" s="26">
        <v>46030</v>
      </c>
      <c r="H261" s="26">
        <v>45962</v>
      </c>
      <c r="I261" s="37">
        <v>3303655</v>
      </c>
      <c r="J261" s="25" t="s">
        <v>52</v>
      </c>
      <c r="K261" s="25" t="s">
        <v>94</v>
      </c>
      <c r="L261" s="25" t="s">
        <v>110</v>
      </c>
      <c r="M261" s="37">
        <v>29732895</v>
      </c>
      <c r="N261" s="34">
        <f t="shared" ca="1" si="15"/>
        <v>121</v>
      </c>
      <c r="O261" s="34" t="str">
        <f t="shared" ca="1" si="16"/>
        <v>90+</v>
      </c>
      <c r="P261" s="35">
        <f t="shared" si="17"/>
        <v>5.2987455493718329E-4</v>
      </c>
      <c r="Q261" s="36">
        <f t="shared" si="18"/>
        <v>0.1111111111111111</v>
      </c>
      <c r="R261" s="34" t="str">
        <f t="shared" si="19"/>
        <v>2M-5M</v>
      </c>
    </row>
    <row r="262" spans="4:18">
      <c r="D262" s="25" t="s">
        <v>279</v>
      </c>
      <c r="E262" s="25" t="s">
        <v>280</v>
      </c>
      <c r="F262" s="25" t="s">
        <v>661</v>
      </c>
      <c r="G262" s="26">
        <v>45987</v>
      </c>
      <c r="H262" s="26">
        <v>45989</v>
      </c>
      <c r="I262" s="37">
        <v>3655480</v>
      </c>
      <c r="J262" s="25" t="s">
        <v>52</v>
      </c>
      <c r="K262" s="25" t="s">
        <v>94</v>
      </c>
      <c r="L262" s="25" t="s">
        <v>90</v>
      </c>
      <c r="M262" s="37">
        <v>36554800</v>
      </c>
      <c r="N262" s="34">
        <f t="shared" ca="1" si="15"/>
        <v>94</v>
      </c>
      <c r="O262" s="34" t="str">
        <f t="shared" ca="1" si="16"/>
        <v>90+</v>
      </c>
      <c r="P262" s="35">
        <f t="shared" si="17"/>
        <v>5.8630390827183062E-4</v>
      </c>
      <c r="Q262" s="36">
        <f t="shared" si="18"/>
        <v>0.1</v>
      </c>
      <c r="R262" s="34" t="str">
        <f t="shared" si="19"/>
        <v>2M-5M</v>
      </c>
    </row>
    <row r="263" spans="4:18">
      <c r="D263" s="25" t="s">
        <v>270</v>
      </c>
      <c r="E263" s="25" t="s">
        <v>271</v>
      </c>
      <c r="F263" s="25" t="s">
        <v>662</v>
      </c>
      <c r="G263" s="26">
        <v>46014</v>
      </c>
      <c r="H263" s="26">
        <v>45957</v>
      </c>
      <c r="I263" s="37">
        <v>6675389</v>
      </c>
      <c r="J263" s="25" t="s">
        <v>52</v>
      </c>
      <c r="K263" s="25" t="s">
        <v>89</v>
      </c>
      <c r="L263" s="25" t="s">
        <v>90</v>
      </c>
      <c r="M263" s="37">
        <v>26701556</v>
      </c>
      <c r="N263" s="34">
        <f t="shared" ca="1" si="15"/>
        <v>126</v>
      </c>
      <c r="O263" s="34" t="str">
        <f t="shared" ca="1" si="16"/>
        <v>90+</v>
      </c>
      <c r="P263" s="35">
        <f t="shared" si="17"/>
        <v>1.070668328081343E-3</v>
      </c>
      <c r="Q263" s="36">
        <f t="shared" si="18"/>
        <v>0.25</v>
      </c>
      <c r="R263" s="34" t="str">
        <f t="shared" si="19"/>
        <v>&gt;5M</v>
      </c>
    </row>
    <row r="264" spans="4:18">
      <c r="D264" s="25" t="s">
        <v>211</v>
      </c>
      <c r="E264" s="25" t="s">
        <v>212</v>
      </c>
      <c r="F264" s="25" t="s">
        <v>663</v>
      </c>
      <c r="G264" s="26">
        <v>45980</v>
      </c>
      <c r="H264" s="26">
        <v>46051</v>
      </c>
      <c r="I264" s="37">
        <v>4468384</v>
      </c>
      <c r="J264" s="25" t="s">
        <v>99</v>
      </c>
      <c r="K264" s="25" t="s">
        <v>94</v>
      </c>
      <c r="L264" s="25" t="s">
        <v>95</v>
      </c>
      <c r="M264" s="37">
        <v>26810304</v>
      </c>
      <c r="N264" s="34">
        <f t="shared" ref="N264:N327" ca="1" si="20">MAX(0,TODAY()-H264)</f>
        <v>32</v>
      </c>
      <c r="O264" s="34" t="str">
        <f t="shared" ref="O264:O327" ca="1" si="21">IF(N264&lt;=0,"Current",
IF(N264&lt;=30,"1-30",
IF(N264&lt;=60,"31-60",
IF(N264&lt;=90,"61-90","90+"))))</f>
        <v>31-60</v>
      </c>
      <c r="P264" s="35">
        <f t="shared" ref="P264:P327" si="22">I264/SUM($I$7:$I$438)</f>
        <v>7.1668590796812343E-4</v>
      </c>
      <c r="Q264" s="36">
        <f t="shared" ref="Q264:Q327" si="23">I264/M264</f>
        <v>0.16666666666666666</v>
      </c>
      <c r="R264" s="34" t="str">
        <f t="shared" ref="R264:R327" si="24">IF(I264&lt;500000,"&lt;500K",
IF(I264&lt;2000000,"500K-2M",
IF(I264&lt;5000000,"2M-5M","&gt;5M")))</f>
        <v>2M-5M</v>
      </c>
    </row>
    <row r="265" spans="4:18">
      <c r="D265" s="25" t="s">
        <v>664</v>
      </c>
      <c r="E265" s="25" t="s">
        <v>665</v>
      </c>
      <c r="F265" s="25" t="s">
        <v>666</v>
      </c>
      <c r="G265" s="26">
        <v>46040</v>
      </c>
      <c r="H265" s="26">
        <v>45991</v>
      </c>
      <c r="I265" s="37">
        <v>7552216</v>
      </c>
      <c r="J265" s="25" t="s">
        <v>99</v>
      </c>
      <c r="K265" s="25" t="s">
        <v>89</v>
      </c>
      <c r="L265" s="25" t="s">
        <v>138</v>
      </c>
      <c r="M265" s="37">
        <v>52865512</v>
      </c>
      <c r="N265" s="34">
        <f t="shared" ca="1" si="20"/>
        <v>92</v>
      </c>
      <c r="O265" s="34" t="str">
        <f t="shared" ca="1" si="21"/>
        <v>90+</v>
      </c>
      <c r="P265" s="35">
        <f t="shared" si="22"/>
        <v>1.2113029634721164E-3</v>
      </c>
      <c r="Q265" s="36">
        <f t="shared" si="23"/>
        <v>0.14285714285714285</v>
      </c>
      <c r="R265" s="34" t="str">
        <f t="shared" si="24"/>
        <v>&gt;5M</v>
      </c>
    </row>
    <row r="266" spans="4:18">
      <c r="D266" s="25" t="s">
        <v>192</v>
      </c>
      <c r="E266" s="25" t="s">
        <v>193</v>
      </c>
      <c r="F266" s="25" t="s">
        <v>667</v>
      </c>
      <c r="G266" s="26">
        <v>45969</v>
      </c>
      <c r="H266" s="26">
        <v>46122</v>
      </c>
      <c r="I266" s="37">
        <v>4883113</v>
      </c>
      <c r="J266" s="25" t="s">
        <v>52</v>
      </c>
      <c r="K266" s="25" t="s">
        <v>56</v>
      </c>
      <c r="L266" s="25" t="s">
        <v>121</v>
      </c>
      <c r="M266" s="37">
        <v>14649339</v>
      </c>
      <c r="N266" s="34">
        <f t="shared" ca="1" si="20"/>
        <v>0</v>
      </c>
      <c r="O266" s="34" t="str">
        <f t="shared" ca="1" si="21"/>
        <v>Current</v>
      </c>
      <c r="P266" s="35">
        <f t="shared" si="22"/>
        <v>7.8320445917717612E-4</v>
      </c>
      <c r="Q266" s="36">
        <f t="shared" si="23"/>
        <v>0.33333333333333331</v>
      </c>
      <c r="R266" s="34" t="str">
        <f t="shared" si="24"/>
        <v>2M-5M</v>
      </c>
    </row>
    <row r="267" spans="4:18">
      <c r="D267" s="25" t="s">
        <v>668</v>
      </c>
      <c r="E267" s="25" t="s">
        <v>669</v>
      </c>
      <c r="F267" s="25" t="s">
        <v>670</v>
      </c>
      <c r="G267" s="26">
        <v>45956</v>
      </c>
      <c r="H267" s="26">
        <v>46110</v>
      </c>
      <c r="I267" s="37">
        <v>411709</v>
      </c>
      <c r="J267" s="25" t="s">
        <v>52</v>
      </c>
      <c r="K267" s="25" t="s">
        <v>56</v>
      </c>
      <c r="L267" s="25" t="s">
        <v>138</v>
      </c>
      <c r="M267" s="37">
        <v>3705381</v>
      </c>
      <c r="N267" s="34">
        <f t="shared" ca="1" si="20"/>
        <v>0</v>
      </c>
      <c r="O267" s="34" t="str">
        <f t="shared" ca="1" si="21"/>
        <v>Current</v>
      </c>
      <c r="P267" s="35">
        <f t="shared" si="22"/>
        <v>6.6034172193716586E-5</v>
      </c>
      <c r="Q267" s="36">
        <f t="shared" si="23"/>
        <v>0.1111111111111111</v>
      </c>
      <c r="R267" s="34" t="str">
        <f t="shared" si="24"/>
        <v>&lt;500K</v>
      </c>
    </row>
    <row r="268" spans="4:18">
      <c r="D268" s="25" t="s">
        <v>96</v>
      </c>
      <c r="E268" s="25" t="s">
        <v>97</v>
      </c>
      <c r="F268" s="25" t="s">
        <v>671</v>
      </c>
      <c r="G268" s="26">
        <v>45768</v>
      </c>
      <c r="H268" s="26">
        <v>45993</v>
      </c>
      <c r="I268" s="37">
        <v>3376617</v>
      </c>
      <c r="J268" s="25" t="s">
        <v>99</v>
      </c>
      <c r="K268" s="25" t="s">
        <v>94</v>
      </c>
      <c r="L268" s="25" t="s">
        <v>110</v>
      </c>
      <c r="M268" s="37">
        <v>33766170</v>
      </c>
      <c r="N268" s="34">
        <f t="shared" ca="1" si="20"/>
        <v>90</v>
      </c>
      <c r="O268" s="34" t="str">
        <f t="shared" ca="1" si="21"/>
        <v>61-90</v>
      </c>
      <c r="P268" s="35">
        <f t="shared" si="22"/>
        <v>5.4157695947922133E-4</v>
      </c>
      <c r="Q268" s="36">
        <f t="shared" si="23"/>
        <v>0.1</v>
      </c>
      <c r="R268" s="34" t="str">
        <f t="shared" si="24"/>
        <v>2M-5M</v>
      </c>
    </row>
    <row r="269" spans="4:18">
      <c r="D269" s="25" t="s">
        <v>248</v>
      </c>
      <c r="E269" s="25" t="s">
        <v>249</v>
      </c>
      <c r="F269" s="25" t="s">
        <v>672</v>
      </c>
      <c r="G269" s="26">
        <v>45976</v>
      </c>
      <c r="H269" s="26">
        <v>45908</v>
      </c>
      <c r="I269" s="37">
        <v>2394378</v>
      </c>
      <c r="J269" s="25" t="s">
        <v>52</v>
      </c>
      <c r="K269" s="25" t="s">
        <v>125</v>
      </c>
      <c r="L269" s="25" t="s">
        <v>95</v>
      </c>
      <c r="M269" s="37">
        <v>9577512</v>
      </c>
      <c r="N269" s="34">
        <f t="shared" ca="1" si="20"/>
        <v>175</v>
      </c>
      <c r="O269" s="34" t="str">
        <f t="shared" ca="1" si="21"/>
        <v>90+</v>
      </c>
      <c r="P269" s="35">
        <f t="shared" si="22"/>
        <v>3.8403525098758284E-4</v>
      </c>
      <c r="Q269" s="36">
        <f t="shared" si="23"/>
        <v>0.25</v>
      </c>
      <c r="R269" s="34" t="str">
        <f t="shared" si="24"/>
        <v>2M-5M</v>
      </c>
    </row>
    <row r="270" spans="4:18">
      <c r="D270" s="25" t="s">
        <v>237</v>
      </c>
      <c r="E270" s="25" t="s">
        <v>238</v>
      </c>
      <c r="F270" s="25" t="s">
        <v>673</v>
      </c>
      <c r="G270" s="26">
        <v>46006</v>
      </c>
      <c r="H270" s="26">
        <v>46075</v>
      </c>
      <c r="I270" s="37">
        <v>4064534</v>
      </c>
      <c r="J270" s="25" t="s">
        <v>99</v>
      </c>
      <c r="K270" s="25" t="s">
        <v>134</v>
      </c>
      <c r="L270" s="25" t="s">
        <v>95</v>
      </c>
      <c r="M270" s="37">
        <v>20322670</v>
      </c>
      <c r="N270" s="34">
        <f t="shared" ca="1" si="20"/>
        <v>8</v>
      </c>
      <c r="O270" s="34" t="str">
        <f t="shared" ca="1" si="21"/>
        <v>1-30</v>
      </c>
      <c r="P270" s="35">
        <f t="shared" si="22"/>
        <v>6.5191224394709781E-4</v>
      </c>
      <c r="Q270" s="36">
        <f t="shared" si="23"/>
        <v>0.2</v>
      </c>
      <c r="R270" s="34" t="str">
        <f t="shared" si="24"/>
        <v>2M-5M</v>
      </c>
    </row>
    <row r="271" spans="4:18">
      <c r="D271" s="25" t="s">
        <v>674</v>
      </c>
      <c r="E271" s="25" t="s">
        <v>675</v>
      </c>
      <c r="F271" s="25" t="s">
        <v>676</v>
      </c>
      <c r="G271" s="26">
        <v>45954</v>
      </c>
      <c r="H271" s="26">
        <v>45934</v>
      </c>
      <c r="I271" s="37">
        <v>1097617</v>
      </c>
      <c r="J271" s="25" t="s">
        <v>99</v>
      </c>
      <c r="K271" s="25" t="s">
        <v>89</v>
      </c>
      <c r="L271" s="25" t="s">
        <v>110</v>
      </c>
      <c r="M271" s="37">
        <v>4390468</v>
      </c>
      <c r="N271" s="34">
        <f t="shared" ca="1" si="20"/>
        <v>149</v>
      </c>
      <c r="O271" s="34" t="str">
        <f t="shared" ca="1" si="21"/>
        <v>90+</v>
      </c>
      <c r="P271" s="35">
        <f t="shared" si="22"/>
        <v>1.760472323431128E-4</v>
      </c>
      <c r="Q271" s="36">
        <f t="shared" si="23"/>
        <v>0.25</v>
      </c>
      <c r="R271" s="34" t="str">
        <f t="shared" si="24"/>
        <v>500K-2M</v>
      </c>
    </row>
    <row r="272" spans="4:18">
      <c r="D272" s="25" t="s">
        <v>387</v>
      </c>
      <c r="E272" s="25" t="s">
        <v>388</v>
      </c>
      <c r="F272" s="25" t="s">
        <v>677</v>
      </c>
      <c r="G272" s="26">
        <v>45858</v>
      </c>
      <c r="H272" s="26">
        <v>45993</v>
      </c>
      <c r="I272" s="37">
        <v>5738496</v>
      </c>
      <c r="J272" s="25" t="s">
        <v>52</v>
      </c>
      <c r="K272" s="25" t="s">
        <v>94</v>
      </c>
      <c r="L272" s="25" t="s">
        <v>138</v>
      </c>
      <c r="M272" s="37">
        <v>17215488</v>
      </c>
      <c r="N272" s="34">
        <f t="shared" ca="1" si="20"/>
        <v>90</v>
      </c>
      <c r="O272" s="34" t="str">
        <f t="shared" ca="1" si="21"/>
        <v>61-90</v>
      </c>
      <c r="P272" s="35">
        <f t="shared" si="22"/>
        <v>9.2039968277825822E-4</v>
      </c>
      <c r="Q272" s="36">
        <f t="shared" si="23"/>
        <v>0.33333333333333331</v>
      </c>
      <c r="R272" s="34" t="str">
        <f t="shared" si="24"/>
        <v>&gt;5M</v>
      </c>
    </row>
    <row r="273" spans="4:18">
      <c r="D273" s="25" t="s">
        <v>318</v>
      </c>
      <c r="E273" s="25" t="s">
        <v>319</v>
      </c>
      <c r="F273" s="25" t="s">
        <v>678</v>
      </c>
      <c r="G273" s="26">
        <v>46004</v>
      </c>
      <c r="H273" s="26">
        <v>45926</v>
      </c>
      <c r="I273" s="37">
        <v>6440179</v>
      </c>
      <c r="J273" s="25" t="s">
        <v>52</v>
      </c>
      <c r="K273" s="25" t="s">
        <v>109</v>
      </c>
      <c r="L273" s="25" t="s">
        <v>110</v>
      </c>
      <c r="M273" s="37">
        <v>19320537</v>
      </c>
      <c r="N273" s="34">
        <f t="shared" ca="1" si="20"/>
        <v>157</v>
      </c>
      <c r="O273" s="34" t="str">
        <f t="shared" ca="1" si="21"/>
        <v>90+</v>
      </c>
      <c r="P273" s="35">
        <f t="shared" si="22"/>
        <v>1.0329429015259748E-3</v>
      </c>
      <c r="Q273" s="36">
        <f t="shared" si="23"/>
        <v>0.33333333333333331</v>
      </c>
      <c r="R273" s="34" t="str">
        <f t="shared" si="24"/>
        <v>&gt;5M</v>
      </c>
    </row>
    <row r="274" spans="4:18">
      <c r="D274" s="25" t="s">
        <v>679</v>
      </c>
      <c r="E274" s="25" t="s">
        <v>680</v>
      </c>
      <c r="F274" s="25" t="s">
        <v>681</v>
      </c>
      <c r="G274" s="26">
        <v>45997</v>
      </c>
      <c r="H274" s="26">
        <v>46118</v>
      </c>
      <c r="I274" s="37">
        <v>3251729</v>
      </c>
      <c r="J274" s="25" t="s">
        <v>133</v>
      </c>
      <c r="K274" s="25" t="s">
        <v>94</v>
      </c>
      <c r="L274" s="25" t="s">
        <v>110</v>
      </c>
      <c r="M274" s="37">
        <v>22762103</v>
      </c>
      <c r="N274" s="34">
        <f t="shared" ca="1" si="20"/>
        <v>0</v>
      </c>
      <c r="O274" s="34" t="str">
        <f t="shared" ca="1" si="21"/>
        <v>Current</v>
      </c>
      <c r="P274" s="35">
        <f t="shared" si="22"/>
        <v>5.2154612290064551E-4</v>
      </c>
      <c r="Q274" s="36">
        <f t="shared" si="23"/>
        <v>0.14285714285714285</v>
      </c>
      <c r="R274" s="34" t="str">
        <f t="shared" si="24"/>
        <v>2M-5M</v>
      </c>
    </row>
    <row r="275" spans="4:18">
      <c r="D275" s="25" t="s">
        <v>465</v>
      </c>
      <c r="E275" s="25" t="s">
        <v>466</v>
      </c>
      <c r="F275" s="25" t="s">
        <v>682</v>
      </c>
      <c r="G275" s="26">
        <v>46041</v>
      </c>
      <c r="H275" s="26">
        <v>46033</v>
      </c>
      <c r="I275" s="37">
        <v>6276176</v>
      </c>
      <c r="J275" s="25" t="s">
        <v>99</v>
      </c>
      <c r="K275" s="25" t="s">
        <v>125</v>
      </c>
      <c r="L275" s="25" t="s">
        <v>95</v>
      </c>
      <c r="M275" s="37">
        <v>50209408</v>
      </c>
      <c r="N275" s="34">
        <f t="shared" ca="1" si="20"/>
        <v>50</v>
      </c>
      <c r="O275" s="34" t="str">
        <f t="shared" ca="1" si="21"/>
        <v>31-60</v>
      </c>
      <c r="P275" s="35">
        <f t="shared" si="22"/>
        <v>1.0066383943563813E-3</v>
      </c>
      <c r="Q275" s="36">
        <f t="shared" si="23"/>
        <v>0.125</v>
      </c>
      <c r="R275" s="34" t="str">
        <f t="shared" si="24"/>
        <v>&gt;5M</v>
      </c>
    </row>
    <row r="276" spans="4:18">
      <c r="D276" s="25" t="s">
        <v>276</v>
      </c>
      <c r="E276" s="25" t="s">
        <v>277</v>
      </c>
      <c r="F276" s="25" t="s">
        <v>683</v>
      </c>
      <c r="G276" s="26">
        <v>45729</v>
      </c>
      <c r="H276" s="26">
        <v>45986</v>
      </c>
      <c r="I276" s="37">
        <v>7864861</v>
      </c>
      <c r="J276" s="25" t="s">
        <v>52</v>
      </c>
      <c r="K276" s="25" t="s">
        <v>109</v>
      </c>
      <c r="L276" s="25" t="s">
        <v>110</v>
      </c>
      <c r="M276" s="37">
        <v>55054027</v>
      </c>
      <c r="N276" s="34">
        <f t="shared" ca="1" si="20"/>
        <v>97</v>
      </c>
      <c r="O276" s="34" t="str">
        <f t="shared" ca="1" si="21"/>
        <v>90+</v>
      </c>
      <c r="P276" s="35">
        <f t="shared" si="22"/>
        <v>1.2614482208395882E-3</v>
      </c>
      <c r="Q276" s="36">
        <f t="shared" si="23"/>
        <v>0.14285714285714285</v>
      </c>
      <c r="R276" s="34" t="str">
        <f t="shared" si="24"/>
        <v>&gt;5M</v>
      </c>
    </row>
    <row r="277" spans="4:18">
      <c r="D277" s="25" t="s">
        <v>435</v>
      </c>
      <c r="E277" s="25" t="s">
        <v>436</v>
      </c>
      <c r="F277" s="25" t="s">
        <v>684</v>
      </c>
      <c r="G277" s="26">
        <v>45735</v>
      </c>
      <c r="H277" s="26">
        <v>46029</v>
      </c>
      <c r="I277" s="37">
        <v>1378890</v>
      </c>
      <c r="J277" s="25" t="s">
        <v>52</v>
      </c>
      <c r="K277" s="25" t="s">
        <v>109</v>
      </c>
      <c r="L277" s="25" t="s">
        <v>90</v>
      </c>
      <c r="M277" s="37">
        <v>8273340</v>
      </c>
      <c r="N277" s="34">
        <f t="shared" ca="1" si="20"/>
        <v>54</v>
      </c>
      <c r="O277" s="34" t="str">
        <f t="shared" ca="1" si="21"/>
        <v>31-60</v>
      </c>
      <c r="P277" s="35">
        <f t="shared" si="22"/>
        <v>2.2116072200557645E-4</v>
      </c>
      <c r="Q277" s="36">
        <f t="shared" si="23"/>
        <v>0.16666666666666666</v>
      </c>
      <c r="R277" s="34" t="str">
        <f t="shared" si="24"/>
        <v>500K-2M</v>
      </c>
    </row>
    <row r="278" spans="4:18">
      <c r="D278" s="25" t="s">
        <v>370</v>
      </c>
      <c r="E278" s="25" t="s">
        <v>371</v>
      </c>
      <c r="F278" s="25" t="s">
        <v>685</v>
      </c>
      <c r="G278" s="26">
        <v>45838</v>
      </c>
      <c r="H278" s="26">
        <v>46026</v>
      </c>
      <c r="I278" s="37">
        <v>4646810</v>
      </c>
      <c r="J278" s="25" t="s">
        <v>52</v>
      </c>
      <c r="K278" s="25" t="s">
        <v>134</v>
      </c>
      <c r="L278" s="25" t="s">
        <v>90</v>
      </c>
      <c r="M278" s="37">
        <v>37174480</v>
      </c>
      <c r="N278" s="34">
        <f t="shared" ca="1" si="20"/>
        <v>57</v>
      </c>
      <c r="O278" s="34" t="str">
        <f t="shared" ca="1" si="21"/>
        <v>31-60</v>
      </c>
      <c r="P278" s="35">
        <f t="shared" si="22"/>
        <v>7.4530372591195284E-4</v>
      </c>
      <c r="Q278" s="36">
        <f t="shared" si="23"/>
        <v>0.125</v>
      </c>
      <c r="R278" s="34" t="str">
        <f t="shared" si="24"/>
        <v>2M-5M</v>
      </c>
    </row>
    <row r="279" spans="4:18">
      <c r="D279" s="25" t="s">
        <v>657</v>
      </c>
      <c r="E279" s="25" t="s">
        <v>658</v>
      </c>
      <c r="F279" s="25" t="s">
        <v>686</v>
      </c>
      <c r="G279" s="26">
        <v>46005</v>
      </c>
      <c r="H279" s="26">
        <v>45974</v>
      </c>
      <c r="I279" s="37">
        <v>1923546</v>
      </c>
      <c r="J279" s="25" t="s">
        <v>52</v>
      </c>
      <c r="K279" s="25" t="s">
        <v>89</v>
      </c>
      <c r="L279" s="25" t="s">
        <v>95</v>
      </c>
      <c r="M279" s="37">
        <v>9617730</v>
      </c>
      <c r="N279" s="34">
        <f t="shared" ca="1" si="20"/>
        <v>109</v>
      </c>
      <c r="O279" s="34" t="str">
        <f t="shared" ca="1" si="21"/>
        <v>90+</v>
      </c>
      <c r="P279" s="35">
        <f t="shared" si="22"/>
        <v>3.0851831703104565E-4</v>
      </c>
      <c r="Q279" s="36">
        <f t="shared" si="23"/>
        <v>0.2</v>
      </c>
      <c r="R279" s="34" t="str">
        <f t="shared" si="24"/>
        <v>500K-2M</v>
      </c>
    </row>
    <row r="280" spans="4:18">
      <c r="D280" s="25" t="s">
        <v>156</v>
      </c>
      <c r="E280" s="25" t="s">
        <v>157</v>
      </c>
      <c r="F280" s="25" t="s">
        <v>687</v>
      </c>
      <c r="G280" s="26">
        <v>45835</v>
      </c>
      <c r="H280" s="26">
        <v>46075</v>
      </c>
      <c r="I280" s="37">
        <v>5792552</v>
      </c>
      <c r="J280" s="25" t="s">
        <v>99</v>
      </c>
      <c r="K280" s="25" t="s">
        <v>109</v>
      </c>
      <c r="L280" s="25" t="s">
        <v>121</v>
      </c>
      <c r="M280" s="37">
        <v>57925520</v>
      </c>
      <c r="N280" s="34">
        <f t="shared" ca="1" si="20"/>
        <v>8</v>
      </c>
      <c r="O280" s="34" t="str">
        <f t="shared" ca="1" si="21"/>
        <v>1-30</v>
      </c>
      <c r="P280" s="35">
        <f t="shared" si="22"/>
        <v>9.2906974637197012E-4</v>
      </c>
      <c r="Q280" s="36">
        <f t="shared" si="23"/>
        <v>0.1</v>
      </c>
      <c r="R280" s="34" t="str">
        <f t="shared" si="24"/>
        <v>&gt;5M</v>
      </c>
    </row>
    <row r="281" spans="4:18">
      <c r="D281" s="25" t="s">
        <v>205</v>
      </c>
      <c r="E281" s="25" t="s">
        <v>206</v>
      </c>
      <c r="F281" s="25" t="s">
        <v>688</v>
      </c>
      <c r="G281" s="26">
        <v>45980</v>
      </c>
      <c r="H281" s="26">
        <v>46019</v>
      </c>
      <c r="I281" s="37">
        <v>261950</v>
      </c>
      <c r="J281" s="25" t="s">
        <v>52</v>
      </c>
      <c r="K281" s="25" t="s">
        <v>125</v>
      </c>
      <c r="L281" s="25" t="s">
        <v>121</v>
      </c>
      <c r="M281" s="37">
        <v>1571700</v>
      </c>
      <c r="N281" s="34">
        <f t="shared" ca="1" si="20"/>
        <v>64</v>
      </c>
      <c r="O281" s="34" t="str">
        <f t="shared" ca="1" si="21"/>
        <v>61-90</v>
      </c>
      <c r="P281" s="35">
        <f t="shared" si="22"/>
        <v>4.2014265916324545E-5</v>
      </c>
      <c r="Q281" s="36">
        <f t="shared" si="23"/>
        <v>0.16666666666666666</v>
      </c>
      <c r="R281" s="34" t="str">
        <f t="shared" si="24"/>
        <v>&lt;500K</v>
      </c>
    </row>
    <row r="282" spans="4:18">
      <c r="D282" s="25" t="s">
        <v>534</v>
      </c>
      <c r="E282" s="25" t="s">
        <v>535</v>
      </c>
      <c r="F282" s="25" t="s">
        <v>689</v>
      </c>
      <c r="G282" s="26">
        <v>46020</v>
      </c>
      <c r="H282" s="26">
        <v>45946</v>
      </c>
      <c r="I282" s="37">
        <v>7461758</v>
      </c>
      <c r="J282" s="25" t="s">
        <v>52</v>
      </c>
      <c r="K282" s="25" t="s">
        <v>125</v>
      </c>
      <c r="L282" s="25" t="s">
        <v>90</v>
      </c>
      <c r="M282" s="37">
        <v>29847032</v>
      </c>
      <c r="N282" s="34">
        <f t="shared" ca="1" si="20"/>
        <v>137</v>
      </c>
      <c r="O282" s="34" t="str">
        <f t="shared" ca="1" si="21"/>
        <v>90+</v>
      </c>
      <c r="P282" s="35">
        <f t="shared" si="22"/>
        <v>1.1967943684491774E-3</v>
      </c>
      <c r="Q282" s="36">
        <f t="shared" si="23"/>
        <v>0.25</v>
      </c>
      <c r="R282" s="34" t="str">
        <f t="shared" si="24"/>
        <v>&gt;5M</v>
      </c>
    </row>
    <row r="283" spans="4:18">
      <c r="D283" s="25" t="s">
        <v>252</v>
      </c>
      <c r="E283" s="25" t="s">
        <v>253</v>
      </c>
      <c r="F283" s="25" t="s">
        <v>690</v>
      </c>
      <c r="G283" s="26">
        <v>46031</v>
      </c>
      <c r="H283" s="26">
        <v>46018</v>
      </c>
      <c r="I283" s="37">
        <v>6239357</v>
      </c>
      <c r="J283" s="25" t="s">
        <v>52</v>
      </c>
      <c r="K283" s="25" t="s">
        <v>109</v>
      </c>
      <c r="L283" s="25" t="s">
        <v>121</v>
      </c>
      <c r="M283" s="37">
        <v>56154213</v>
      </c>
      <c r="N283" s="34">
        <f t="shared" ca="1" si="20"/>
        <v>65</v>
      </c>
      <c r="O283" s="34" t="str">
        <f t="shared" ca="1" si="21"/>
        <v>61-90</v>
      </c>
      <c r="P283" s="35">
        <f t="shared" si="22"/>
        <v>1.0007329801293412E-3</v>
      </c>
      <c r="Q283" s="36">
        <f t="shared" si="23"/>
        <v>0.1111111111111111</v>
      </c>
      <c r="R283" s="34" t="str">
        <f t="shared" si="24"/>
        <v>&gt;5M</v>
      </c>
    </row>
    <row r="284" spans="4:18">
      <c r="D284" s="25" t="s">
        <v>156</v>
      </c>
      <c r="E284" s="25" t="s">
        <v>157</v>
      </c>
      <c r="F284" s="25" t="s">
        <v>691</v>
      </c>
      <c r="G284" s="26">
        <v>45983</v>
      </c>
      <c r="H284" s="26">
        <v>46075</v>
      </c>
      <c r="I284" s="37">
        <v>5679394</v>
      </c>
      <c r="J284" s="25" t="s">
        <v>99</v>
      </c>
      <c r="K284" s="25" t="s">
        <v>134</v>
      </c>
      <c r="L284" s="25" t="s">
        <v>95</v>
      </c>
      <c r="M284" s="37">
        <v>39755758</v>
      </c>
      <c r="N284" s="34">
        <f t="shared" ca="1" si="20"/>
        <v>8</v>
      </c>
      <c r="O284" s="34" t="str">
        <f t="shared" ca="1" si="21"/>
        <v>1-30</v>
      </c>
      <c r="P284" s="35">
        <f t="shared" si="22"/>
        <v>9.1092028921388858E-4</v>
      </c>
      <c r="Q284" s="36">
        <f t="shared" si="23"/>
        <v>0.14285714285714285</v>
      </c>
      <c r="R284" s="34" t="str">
        <f t="shared" si="24"/>
        <v>&gt;5M</v>
      </c>
    </row>
    <row r="285" spans="4:18">
      <c r="D285" s="25" t="s">
        <v>270</v>
      </c>
      <c r="E285" s="25" t="s">
        <v>271</v>
      </c>
      <c r="F285" s="25" t="s">
        <v>692</v>
      </c>
      <c r="G285" s="26">
        <v>45852</v>
      </c>
      <c r="H285" s="26">
        <v>46069</v>
      </c>
      <c r="I285" s="37">
        <v>4917728</v>
      </c>
      <c r="J285" s="25" t="s">
        <v>52</v>
      </c>
      <c r="K285" s="25" t="s">
        <v>134</v>
      </c>
      <c r="L285" s="25" t="s">
        <v>121</v>
      </c>
      <c r="M285" s="37">
        <v>19670912</v>
      </c>
      <c r="N285" s="34">
        <f t="shared" ca="1" si="20"/>
        <v>14</v>
      </c>
      <c r="O285" s="34" t="str">
        <f t="shared" ca="1" si="21"/>
        <v>1-30</v>
      </c>
      <c r="P285" s="35">
        <f t="shared" si="22"/>
        <v>7.8875637295726234E-4</v>
      </c>
      <c r="Q285" s="36">
        <f t="shared" si="23"/>
        <v>0.25</v>
      </c>
      <c r="R285" s="34" t="str">
        <f t="shared" si="24"/>
        <v>2M-5M</v>
      </c>
    </row>
    <row r="286" spans="4:18">
      <c r="D286" s="25" t="s">
        <v>693</v>
      </c>
      <c r="E286" s="25" t="s">
        <v>694</v>
      </c>
      <c r="F286" s="25" t="s">
        <v>695</v>
      </c>
      <c r="G286" s="26">
        <v>45718</v>
      </c>
      <c r="H286" s="26">
        <v>46065</v>
      </c>
      <c r="I286" s="37">
        <v>3666661</v>
      </c>
      <c r="J286" s="25" t="s">
        <v>133</v>
      </c>
      <c r="K286" s="25" t="s">
        <v>56</v>
      </c>
      <c r="L286" s="25" t="s">
        <v>121</v>
      </c>
      <c r="M286" s="37">
        <v>36666610</v>
      </c>
      <c r="N286" s="34">
        <f t="shared" ca="1" si="20"/>
        <v>18</v>
      </c>
      <c r="O286" s="34" t="str">
        <f t="shared" ca="1" si="21"/>
        <v>1-30</v>
      </c>
      <c r="P286" s="35">
        <f t="shared" si="22"/>
        <v>5.880972333613914E-4</v>
      </c>
      <c r="Q286" s="36">
        <f t="shared" si="23"/>
        <v>0.1</v>
      </c>
      <c r="R286" s="34" t="str">
        <f t="shared" si="24"/>
        <v>2M-5M</v>
      </c>
    </row>
    <row r="287" spans="4:18">
      <c r="D287" s="25" t="s">
        <v>244</v>
      </c>
      <c r="E287" s="25" t="s">
        <v>245</v>
      </c>
      <c r="F287" s="25" t="s">
        <v>696</v>
      </c>
      <c r="G287" s="26">
        <v>45757</v>
      </c>
      <c r="H287" s="26">
        <v>45953</v>
      </c>
      <c r="I287" s="37">
        <v>7644384</v>
      </c>
      <c r="J287" s="25" t="s">
        <v>99</v>
      </c>
      <c r="K287" s="25" t="s">
        <v>134</v>
      </c>
      <c r="L287" s="25" t="s">
        <v>121</v>
      </c>
      <c r="M287" s="37">
        <v>68799456</v>
      </c>
      <c r="N287" s="34">
        <f t="shared" ca="1" si="20"/>
        <v>130</v>
      </c>
      <c r="O287" s="34" t="str">
        <f t="shared" ca="1" si="21"/>
        <v>90+</v>
      </c>
      <c r="P287" s="35">
        <f t="shared" si="22"/>
        <v>1.2260858260832092E-3</v>
      </c>
      <c r="Q287" s="36">
        <f t="shared" si="23"/>
        <v>0.1111111111111111</v>
      </c>
      <c r="R287" s="34" t="str">
        <f t="shared" si="24"/>
        <v>&gt;5M</v>
      </c>
    </row>
    <row r="288" spans="4:18">
      <c r="D288" s="25" t="s">
        <v>697</v>
      </c>
      <c r="E288" s="25" t="s">
        <v>698</v>
      </c>
      <c r="F288" s="25" t="s">
        <v>699</v>
      </c>
      <c r="G288" s="26">
        <v>45916</v>
      </c>
      <c r="H288" s="26">
        <v>46082</v>
      </c>
      <c r="I288" s="37">
        <v>1520699</v>
      </c>
      <c r="J288" s="25" t="s">
        <v>99</v>
      </c>
      <c r="K288" s="25" t="s">
        <v>125</v>
      </c>
      <c r="L288" s="25" t="s">
        <v>138</v>
      </c>
      <c r="M288" s="37">
        <v>13686291</v>
      </c>
      <c r="N288" s="34">
        <f t="shared" ca="1" si="20"/>
        <v>1</v>
      </c>
      <c r="O288" s="34" t="str">
        <f t="shared" ca="1" si="21"/>
        <v>1-30</v>
      </c>
      <c r="P288" s="35">
        <f t="shared" si="22"/>
        <v>2.4390552458365648E-4</v>
      </c>
      <c r="Q288" s="36">
        <f t="shared" si="23"/>
        <v>0.1111111111111111</v>
      </c>
      <c r="R288" s="34" t="str">
        <f t="shared" si="24"/>
        <v>500K-2M</v>
      </c>
    </row>
    <row r="289" spans="4:18">
      <c r="D289" s="25" t="s">
        <v>700</v>
      </c>
      <c r="E289" s="25" t="s">
        <v>701</v>
      </c>
      <c r="F289" s="25" t="s">
        <v>702</v>
      </c>
      <c r="G289" s="26">
        <v>45972</v>
      </c>
      <c r="H289" s="26">
        <v>45915</v>
      </c>
      <c r="I289" s="37">
        <v>4848897</v>
      </c>
      <c r="J289" s="25" t="s">
        <v>99</v>
      </c>
      <c r="K289" s="25" t="s">
        <v>134</v>
      </c>
      <c r="L289" s="25" t="s">
        <v>121</v>
      </c>
      <c r="M289" s="37">
        <v>19395588</v>
      </c>
      <c r="N289" s="34">
        <f t="shared" ca="1" si="20"/>
        <v>168</v>
      </c>
      <c r="O289" s="34" t="str">
        <f t="shared" ca="1" si="21"/>
        <v>90+</v>
      </c>
      <c r="P289" s="35">
        <f t="shared" si="22"/>
        <v>7.7771654116765921E-4</v>
      </c>
      <c r="Q289" s="36">
        <f t="shared" si="23"/>
        <v>0.25</v>
      </c>
      <c r="R289" s="34" t="str">
        <f t="shared" si="24"/>
        <v>2M-5M</v>
      </c>
    </row>
    <row r="290" spans="4:18">
      <c r="D290" s="25" t="s">
        <v>96</v>
      </c>
      <c r="E290" s="25" t="s">
        <v>97</v>
      </c>
      <c r="F290" s="25" t="s">
        <v>703</v>
      </c>
      <c r="G290" s="26">
        <v>45934</v>
      </c>
      <c r="H290" s="26">
        <v>46115</v>
      </c>
      <c r="I290" s="37">
        <v>3949489</v>
      </c>
      <c r="J290" s="25" t="s">
        <v>99</v>
      </c>
      <c r="K290" s="25" t="s">
        <v>89</v>
      </c>
      <c r="L290" s="25" t="s">
        <v>95</v>
      </c>
      <c r="M290" s="37">
        <v>23696934</v>
      </c>
      <c r="N290" s="34">
        <f t="shared" ca="1" si="20"/>
        <v>0</v>
      </c>
      <c r="O290" s="34" t="str">
        <f t="shared" ca="1" si="21"/>
        <v>Current</v>
      </c>
      <c r="P290" s="35">
        <f t="shared" si="22"/>
        <v>6.3346013009963243E-4</v>
      </c>
      <c r="Q290" s="36">
        <f t="shared" si="23"/>
        <v>0.16666666666666666</v>
      </c>
      <c r="R290" s="34" t="str">
        <f t="shared" si="24"/>
        <v>2M-5M</v>
      </c>
    </row>
    <row r="291" spans="4:18">
      <c r="D291" s="25" t="s">
        <v>208</v>
      </c>
      <c r="E291" s="25" t="s">
        <v>209</v>
      </c>
      <c r="F291" s="25" t="s">
        <v>704</v>
      </c>
      <c r="G291" s="26">
        <v>45756</v>
      </c>
      <c r="H291" s="26">
        <v>46073</v>
      </c>
      <c r="I291" s="37">
        <v>7214716</v>
      </c>
      <c r="J291" s="25" t="s">
        <v>99</v>
      </c>
      <c r="K291" s="25" t="s">
        <v>56</v>
      </c>
      <c r="L291" s="25" t="s">
        <v>138</v>
      </c>
      <c r="M291" s="37">
        <v>43288296</v>
      </c>
      <c r="N291" s="34">
        <f t="shared" ca="1" si="20"/>
        <v>10</v>
      </c>
      <c r="O291" s="34" t="str">
        <f t="shared" ca="1" si="21"/>
        <v>1-30</v>
      </c>
      <c r="P291" s="35">
        <f t="shared" si="22"/>
        <v>1.157171202652267E-3</v>
      </c>
      <c r="Q291" s="36">
        <f t="shared" si="23"/>
        <v>0.16666666666666666</v>
      </c>
      <c r="R291" s="34" t="str">
        <f t="shared" si="24"/>
        <v>&gt;5M</v>
      </c>
    </row>
    <row r="292" spans="4:18">
      <c r="D292" s="25" t="s">
        <v>129</v>
      </c>
      <c r="E292" s="25" t="s">
        <v>130</v>
      </c>
      <c r="F292" s="25" t="s">
        <v>705</v>
      </c>
      <c r="G292" s="26">
        <v>45811</v>
      </c>
      <c r="H292" s="26">
        <v>45967</v>
      </c>
      <c r="I292" s="37">
        <v>1916359</v>
      </c>
      <c r="J292" s="25" t="s">
        <v>52</v>
      </c>
      <c r="K292" s="25" t="s">
        <v>134</v>
      </c>
      <c r="L292" s="25" t="s">
        <v>95</v>
      </c>
      <c r="M292" s="37">
        <v>5749077</v>
      </c>
      <c r="N292" s="34">
        <f t="shared" ca="1" si="20"/>
        <v>116</v>
      </c>
      <c r="O292" s="34" t="str">
        <f t="shared" ca="1" si="21"/>
        <v>90+</v>
      </c>
      <c r="P292" s="35">
        <f t="shared" si="22"/>
        <v>3.0736559120878709E-4</v>
      </c>
      <c r="Q292" s="36">
        <f t="shared" si="23"/>
        <v>0.33333333333333331</v>
      </c>
      <c r="R292" s="34" t="str">
        <f t="shared" si="24"/>
        <v>500K-2M</v>
      </c>
    </row>
    <row r="293" spans="4:18">
      <c r="D293" s="25" t="s">
        <v>506</v>
      </c>
      <c r="E293" s="25" t="s">
        <v>507</v>
      </c>
      <c r="F293" s="25" t="s">
        <v>706</v>
      </c>
      <c r="G293" s="26">
        <v>45914</v>
      </c>
      <c r="H293" s="26">
        <v>45961</v>
      </c>
      <c r="I293" s="37">
        <v>7214229</v>
      </c>
      <c r="J293" s="25" t="s">
        <v>99</v>
      </c>
      <c r="K293" s="25" t="s">
        <v>56</v>
      </c>
      <c r="L293" s="25" t="s">
        <v>110</v>
      </c>
      <c r="M293" s="37">
        <v>57713832</v>
      </c>
      <c r="N293" s="34">
        <f t="shared" ca="1" si="20"/>
        <v>122</v>
      </c>
      <c r="O293" s="34" t="str">
        <f t="shared" ca="1" si="21"/>
        <v>90+</v>
      </c>
      <c r="P293" s="35">
        <f t="shared" si="22"/>
        <v>1.157093092526284E-3</v>
      </c>
      <c r="Q293" s="36">
        <f t="shared" si="23"/>
        <v>0.125</v>
      </c>
      <c r="R293" s="34" t="str">
        <f t="shared" si="24"/>
        <v>&gt;5M</v>
      </c>
    </row>
    <row r="294" spans="4:18">
      <c r="D294" s="25" t="s">
        <v>395</v>
      </c>
      <c r="E294" s="25" t="s">
        <v>396</v>
      </c>
      <c r="F294" s="25" t="s">
        <v>707</v>
      </c>
      <c r="G294" s="26">
        <v>45836</v>
      </c>
      <c r="H294" s="26">
        <v>45971</v>
      </c>
      <c r="I294" s="37">
        <v>1364400</v>
      </c>
      <c r="J294" s="25" t="s">
        <v>133</v>
      </c>
      <c r="K294" s="25" t="s">
        <v>89</v>
      </c>
      <c r="L294" s="25" t="s">
        <v>110</v>
      </c>
      <c r="M294" s="37">
        <v>9550800</v>
      </c>
      <c r="N294" s="34">
        <f t="shared" ca="1" si="20"/>
        <v>112</v>
      </c>
      <c r="O294" s="34" t="str">
        <f t="shared" ca="1" si="21"/>
        <v>90+</v>
      </c>
      <c r="P294" s="35">
        <f t="shared" si="22"/>
        <v>2.1883666507437757E-4</v>
      </c>
      <c r="Q294" s="36">
        <f t="shared" si="23"/>
        <v>0.14285714285714285</v>
      </c>
      <c r="R294" s="34" t="str">
        <f t="shared" si="24"/>
        <v>500K-2M</v>
      </c>
    </row>
    <row r="295" spans="4:18">
      <c r="D295" s="25" t="s">
        <v>490</v>
      </c>
      <c r="E295" s="25" t="s">
        <v>491</v>
      </c>
      <c r="F295" s="25" t="s">
        <v>708</v>
      </c>
      <c r="G295" s="26">
        <v>45906</v>
      </c>
      <c r="H295" s="26">
        <v>45930</v>
      </c>
      <c r="I295" s="37">
        <v>6070290</v>
      </c>
      <c r="J295" s="25" t="s">
        <v>99</v>
      </c>
      <c r="K295" s="25" t="s">
        <v>56</v>
      </c>
      <c r="L295" s="25" t="s">
        <v>110</v>
      </c>
      <c r="M295" s="37">
        <v>42492030</v>
      </c>
      <c r="N295" s="34">
        <f t="shared" ca="1" si="20"/>
        <v>153</v>
      </c>
      <c r="O295" s="34" t="str">
        <f t="shared" ca="1" si="21"/>
        <v>90+</v>
      </c>
      <c r="P295" s="35">
        <f t="shared" si="22"/>
        <v>9.7361625596184662E-4</v>
      </c>
      <c r="Q295" s="36">
        <f t="shared" si="23"/>
        <v>0.14285714285714285</v>
      </c>
      <c r="R295" s="34" t="str">
        <f t="shared" si="24"/>
        <v>&gt;5M</v>
      </c>
    </row>
    <row r="296" spans="4:18">
      <c r="D296" s="25" t="s">
        <v>426</v>
      </c>
      <c r="E296" s="25" t="s">
        <v>427</v>
      </c>
      <c r="F296" s="25" t="s">
        <v>709</v>
      </c>
      <c r="G296" s="26">
        <v>45765</v>
      </c>
      <c r="H296" s="26">
        <v>45955</v>
      </c>
      <c r="I296" s="37">
        <v>5616072</v>
      </c>
      <c r="J296" s="25" t="s">
        <v>133</v>
      </c>
      <c r="K296" s="25" t="s">
        <v>94</v>
      </c>
      <c r="L296" s="25" t="s">
        <v>114</v>
      </c>
      <c r="M296" s="37">
        <v>16848216</v>
      </c>
      <c r="N296" s="34">
        <f t="shared" ca="1" si="20"/>
        <v>128</v>
      </c>
      <c r="O296" s="34" t="str">
        <f t="shared" ca="1" si="21"/>
        <v>90+</v>
      </c>
      <c r="P296" s="35">
        <f t="shared" si="22"/>
        <v>9.0076404815126788E-4</v>
      </c>
      <c r="Q296" s="36">
        <f t="shared" si="23"/>
        <v>0.33333333333333331</v>
      </c>
      <c r="R296" s="34" t="str">
        <f t="shared" si="24"/>
        <v>&gt;5M</v>
      </c>
    </row>
    <row r="297" spans="4:18">
      <c r="D297" s="25" t="s">
        <v>248</v>
      </c>
      <c r="E297" s="25" t="s">
        <v>249</v>
      </c>
      <c r="F297" s="25" t="s">
        <v>710</v>
      </c>
      <c r="G297" s="26">
        <v>45806</v>
      </c>
      <c r="H297" s="26">
        <v>45942</v>
      </c>
      <c r="I297" s="37">
        <v>5904490</v>
      </c>
      <c r="J297" s="25" t="s">
        <v>133</v>
      </c>
      <c r="K297" s="25" t="s">
        <v>94</v>
      </c>
      <c r="L297" s="25" t="s">
        <v>114</v>
      </c>
      <c r="M297" s="37">
        <v>29522450</v>
      </c>
      <c r="N297" s="34">
        <f t="shared" ca="1" si="20"/>
        <v>141</v>
      </c>
      <c r="O297" s="34" t="str">
        <f t="shared" ca="1" si="21"/>
        <v>90+</v>
      </c>
      <c r="P297" s="35">
        <f t="shared" si="22"/>
        <v>9.4702352723908796E-4</v>
      </c>
      <c r="Q297" s="36">
        <f t="shared" si="23"/>
        <v>0.2</v>
      </c>
      <c r="R297" s="34" t="str">
        <f t="shared" si="24"/>
        <v>&gt;5M</v>
      </c>
    </row>
    <row r="298" spans="4:18">
      <c r="D298" s="25" t="s">
        <v>443</v>
      </c>
      <c r="E298" s="25" t="s">
        <v>444</v>
      </c>
      <c r="F298" s="25" t="s">
        <v>711</v>
      </c>
      <c r="G298" s="26">
        <v>45871</v>
      </c>
      <c r="H298" s="26">
        <v>45937</v>
      </c>
      <c r="I298" s="37">
        <v>4404079</v>
      </c>
      <c r="J298" s="25" t="s">
        <v>99</v>
      </c>
      <c r="K298" s="25" t="s">
        <v>125</v>
      </c>
      <c r="L298" s="25" t="s">
        <v>90</v>
      </c>
      <c r="M298" s="37">
        <v>35232632</v>
      </c>
      <c r="N298" s="34">
        <f t="shared" ca="1" si="20"/>
        <v>146</v>
      </c>
      <c r="O298" s="34" t="str">
        <f t="shared" ca="1" si="21"/>
        <v>90+</v>
      </c>
      <c r="P298" s="35">
        <f t="shared" si="22"/>
        <v>7.0637200313991479E-4</v>
      </c>
      <c r="Q298" s="36">
        <f t="shared" si="23"/>
        <v>0.125</v>
      </c>
      <c r="R298" s="34" t="str">
        <f t="shared" si="24"/>
        <v>2M-5M</v>
      </c>
    </row>
    <row r="299" spans="4:18">
      <c r="D299" s="25" t="s">
        <v>474</v>
      </c>
      <c r="E299" s="25" t="s">
        <v>475</v>
      </c>
      <c r="F299" s="25" t="s">
        <v>712</v>
      </c>
      <c r="G299" s="26">
        <v>45813</v>
      </c>
      <c r="H299" s="26">
        <v>46032</v>
      </c>
      <c r="I299" s="37">
        <v>5809851</v>
      </c>
      <c r="J299" s="25" t="s">
        <v>52</v>
      </c>
      <c r="K299" s="25" t="s">
        <v>109</v>
      </c>
      <c r="L299" s="25" t="s">
        <v>90</v>
      </c>
      <c r="M299" s="37">
        <v>11619702</v>
      </c>
      <c r="N299" s="34">
        <f t="shared" ca="1" si="20"/>
        <v>51</v>
      </c>
      <c r="O299" s="34" t="str">
        <f t="shared" ca="1" si="21"/>
        <v>31-60</v>
      </c>
      <c r="P299" s="35">
        <f t="shared" si="22"/>
        <v>9.3184433994359251E-4</v>
      </c>
      <c r="Q299" s="36">
        <f t="shared" si="23"/>
        <v>0.5</v>
      </c>
      <c r="R299" s="34" t="str">
        <f t="shared" si="24"/>
        <v>&gt;5M</v>
      </c>
    </row>
    <row r="300" spans="4:18">
      <c r="D300" s="25" t="s">
        <v>152</v>
      </c>
      <c r="E300" s="25" t="s">
        <v>153</v>
      </c>
      <c r="F300" s="25" t="s">
        <v>713</v>
      </c>
      <c r="G300" s="26">
        <v>45756</v>
      </c>
      <c r="H300" s="26">
        <v>46019</v>
      </c>
      <c r="I300" s="37">
        <v>2519606</v>
      </c>
      <c r="J300" s="25" t="s">
        <v>99</v>
      </c>
      <c r="K300" s="25" t="s">
        <v>125</v>
      </c>
      <c r="L300" s="25" t="s">
        <v>138</v>
      </c>
      <c r="M300" s="37">
        <v>25196060</v>
      </c>
      <c r="N300" s="34">
        <f t="shared" ca="1" si="20"/>
        <v>64</v>
      </c>
      <c r="O300" s="34" t="str">
        <f t="shared" ca="1" si="21"/>
        <v>61-90</v>
      </c>
      <c r="P300" s="35">
        <f t="shared" si="22"/>
        <v>4.041206203029846E-4</v>
      </c>
      <c r="Q300" s="36">
        <f t="shared" si="23"/>
        <v>0.1</v>
      </c>
      <c r="R300" s="34" t="str">
        <f t="shared" si="24"/>
        <v>2M-5M</v>
      </c>
    </row>
    <row r="301" spans="4:18">
      <c r="D301" s="25" t="s">
        <v>407</v>
      </c>
      <c r="E301" s="25" t="s">
        <v>408</v>
      </c>
      <c r="F301" s="25" t="s">
        <v>714</v>
      </c>
      <c r="G301" s="26">
        <v>45952</v>
      </c>
      <c r="H301" s="26">
        <v>46089</v>
      </c>
      <c r="I301" s="37">
        <v>6547773</v>
      </c>
      <c r="J301" s="25" t="s">
        <v>52</v>
      </c>
      <c r="K301" s="25" t="s">
        <v>109</v>
      </c>
      <c r="L301" s="25" t="s">
        <v>114</v>
      </c>
      <c r="M301" s="37">
        <v>13095546</v>
      </c>
      <c r="N301" s="34">
        <f t="shared" ca="1" si="20"/>
        <v>0</v>
      </c>
      <c r="O301" s="34" t="str">
        <f t="shared" ca="1" si="21"/>
        <v>Current</v>
      </c>
      <c r="P301" s="35">
        <f t="shared" si="22"/>
        <v>1.0501999464849403E-3</v>
      </c>
      <c r="Q301" s="36">
        <f t="shared" si="23"/>
        <v>0.5</v>
      </c>
      <c r="R301" s="34" t="str">
        <f t="shared" si="24"/>
        <v>&gt;5M</v>
      </c>
    </row>
    <row r="302" spans="4:18">
      <c r="D302" s="25" t="s">
        <v>480</v>
      </c>
      <c r="E302" s="25" t="s">
        <v>481</v>
      </c>
      <c r="F302" s="25" t="s">
        <v>715</v>
      </c>
      <c r="G302" s="26">
        <v>45939</v>
      </c>
      <c r="H302" s="26">
        <v>46128</v>
      </c>
      <c r="I302" s="37">
        <v>4825034</v>
      </c>
      <c r="J302" s="25" t="s">
        <v>99</v>
      </c>
      <c r="K302" s="25" t="s">
        <v>56</v>
      </c>
      <c r="L302" s="25" t="s">
        <v>114</v>
      </c>
      <c r="M302" s="37">
        <v>38600272</v>
      </c>
      <c r="N302" s="34">
        <f t="shared" ca="1" si="20"/>
        <v>0</v>
      </c>
      <c r="O302" s="34" t="str">
        <f t="shared" ca="1" si="21"/>
        <v>Current</v>
      </c>
      <c r="P302" s="35">
        <f t="shared" si="22"/>
        <v>7.7388914499449161E-4</v>
      </c>
      <c r="Q302" s="36">
        <f t="shared" si="23"/>
        <v>0.125</v>
      </c>
      <c r="R302" s="34" t="str">
        <f t="shared" si="24"/>
        <v>2M-5M</v>
      </c>
    </row>
    <row r="303" spans="4:18">
      <c r="D303" s="25" t="s">
        <v>321</v>
      </c>
      <c r="E303" s="25" t="s">
        <v>322</v>
      </c>
      <c r="F303" s="25" t="s">
        <v>716</v>
      </c>
      <c r="G303" s="26">
        <v>46015</v>
      </c>
      <c r="H303" s="26">
        <v>46048</v>
      </c>
      <c r="I303" s="37">
        <v>3165896</v>
      </c>
      <c r="J303" s="25" t="s">
        <v>52</v>
      </c>
      <c r="K303" s="25" t="s">
        <v>109</v>
      </c>
      <c r="L303" s="25" t="s">
        <v>138</v>
      </c>
      <c r="M303" s="37">
        <v>12663584</v>
      </c>
      <c r="N303" s="34">
        <f t="shared" ca="1" si="20"/>
        <v>35</v>
      </c>
      <c r="O303" s="34" t="str">
        <f t="shared" ca="1" si="21"/>
        <v>31-60</v>
      </c>
      <c r="P303" s="35">
        <f t="shared" si="22"/>
        <v>5.0777933348894141E-4</v>
      </c>
      <c r="Q303" s="36">
        <f t="shared" si="23"/>
        <v>0.25</v>
      </c>
      <c r="R303" s="34" t="str">
        <f t="shared" si="24"/>
        <v>2M-5M</v>
      </c>
    </row>
    <row r="304" spans="4:18">
      <c r="D304" s="25" t="s">
        <v>639</v>
      </c>
      <c r="E304" s="25" t="s">
        <v>640</v>
      </c>
      <c r="F304" s="25" t="s">
        <v>717</v>
      </c>
      <c r="G304" s="26">
        <v>45921</v>
      </c>
      <c r="H304" s="26">
        <v>46052</v>
      </c>
      <c r="I304" s="37">
        <v>5948418</v>
      </c>
      <c r="J304" s="25" t="s">
        <v>133</v>
      </c>
      <c r="K304" s="25" t="s">
        <v>125</v>
      </c>
      <c r="L304" s="25" t="s">
        <v>138</v>
      </c>
      <c r="M304" s="37">
        <v>41638926</v>
      </c>
      <c r="N304" s="34">
        <f t="shared" ca="1" si="20"/>
        <v>31</v>
      </c>
      <c r="O304" s="34" t="str">
        <f t="shared" ca="1" si="21"/>
        <v>31-60</v>
      </c>
      <c r="P304" s="35">
        <f t="shared" si="22"/>
        <v>9.5406915683699715E-4</v>
      </c>
      <c r="Q304" s="36">
        <f t="shared" si="23"/>
        <v>0.14285714285714285</v>
      </c>
      <c r="R304" s="34" t="str">
        <f t="shared" si="24"/>
        <v>&gt;5M</v>
      </c>
    </row>
    <row r="305" spans="4:18">
      <c r="D305" s="25" t="s">
        <v>336</v>
      </c>
      <c r="E305" s="25" t="s">
        <v>337</v>
      </c>
      <c r="F305" s="25" t="s">
        <v>718</v>
      </c>
      <c r="G305" s="26">
        <v>45958</v>
      </c>
      <c r="H305" s="26">
        <v>45921</v>
      </c>
      <c r="I305" s="37">
        <v>6149801</v>
      </c>
      <c r="J305" s="25" t="s">
        <v>99</v>
      </c>
      <c r="K305" s="25" t="s">
        <v>56</v>
      </c>
      <c r="L305" s="25" t="s">
        <v>110</v>
      </c>
      <c r="M305" s="37">
        <v>24599204</v>
      </c>
      <c r="N305" s="34">
        <f t="shared" ca="1" si="20"/>
        <v>162</v>
      </c>
      <c r="O305" s="34" t="str">
        <f t="shared" ca="1" si="21"/>
        <v>90+</v>
      </c>
      <c r="P305" s="35">
        <f t="shared" si="22"/>
        <v>9.8636905724939334E-4</v>
      </c>
      <c r="Q305" s="36">
        <f t="shared" si="23"/>
        <v>0.25</v>
      </c>
      <c r="R305" s="34" t="str">
        <f t="shared" si="24"/>
        <v>&gt;5M</v>
      </c>
    </row>
    <row r="306" spans="4:18">
      <c r="D306" s="25" t="s">
        <v>512</v>
      </c>
      <c r="E306" s="25" t="s">
        <v>513</v>
      </c>
      <c r="F306" s="25" t="s">
        <v>719</v>
      </c>
      <c r="G306" s="26">
        <v>45809</v>
      </c>
      <c r="H306" s="26">
        <v>45989</v>
      </c>
      <c r="I306" s="37">
        <v>4444162</v>
      </c>
      <c r="J306" s="25" t="s">
        <v>52</v>
      </c>
      <c r="K306" s="25" t="s">
        <v>109</v>
      </c>
      <c r="L306" s="25" t="s">
        <v>114</v>
      </c>
      <c r="M306" s="37">
        <v>35553296</v>
      </c>
      <c r="N306" s="34">
        <f t="shared" ca="1" si="20"/>
        <v>94</v>
      </c>
      <c r="O306" s="34" t="str">
        <f t="shared" ca="1" si="21"/>
        <v>90+</v>
      </c>
      <c r="P306" s="35">
        <f t="shared" si="22"/>
        <v>7.128009316404837E-4</v>
      </c>
      <c r="Q306" s="36">
        <f t="shared" si="23"/>
        <v>0.125</v>
      </c>
      <c r="R306" s="34" t="str">
        <f t="shared" si="24"/>
        <v>2M-5M</v>
      </c>
    </row>
    <row r="307" spans="4:18">
      <c r="D307" s="25" t="s">
        <v>447</v>
      </c>
      <c r="E307" s="25" t="s">
        <v>448</v>
      </c>
      <c r="F307" s="25" t="s">
        <v>720</v>
      </c>
      <c r="G307" s="26">
        <v>45802</v>
      </c>
      <c r="H307" s="26">
        <v>46111</v>
      </c>
      <c r="I307" s="37">
        <v>3639237</v>
      </c>
      <c r="J307" s="25" t="s">
        <v>52</v>
      </c>
      <c r="K307" s="25" t="s">
        <v>94</v>
      </c>
      <c r="L307" s="25" t="s">
        <v>138</v>
      </c>
      <c r="M307" s="37">
        <v>21835422</v>
      </c>
      <c r="N307" s="34">
        <f t="shared" ca="1" si="20"/>
        <v>0</v>
      </c>
      <c r="O307" s="34" t="str">
        <f t="shared" ca="1" si="21"/>
        <v>Current</v>
      </c>
      <c r="P307" s="35">
        <f t="shared" si="22"/>
        <v>5.8369868696517345E-4</v>
      </c>
      <c r="Q307" s="36">
        <f t="shared" si="23"/>
        <v>0.16666666666666666</v>
      </c>
      <c r="R307" s="34" t="str">
        <f t="shared" si="24"/>
        <v>2M-5M</v>
      </c>
    </row>
    <row r="308" spans="4:18">
      <c r="D308" s="25" t="s">
        <v>373</v>
      </c>
      <c r="E308" s="25" t="s">
        <v>374</v>
      </c>
      <c r="F308" s="25" t="s">
        <v>721</v>
      </c>
      <c r="G308" s="26">
        <v>46046</v>
      </c>
      <c r="H308" s="26">
        <v>46059</v>
      </c>
      <c r="I308" s="37">
        <v>6577097</v>
      </c>
      <c r="J308" s="25" t="s">
        <v>99</v>
      </c>
      <c r="K308" s="25" t="s">
        <v>89</v>
      </c>
      <c r="L308" s="25" t="s">
        <v>121</v>
      </c>
      <c r="M308" s="37">
        <v>65770970</v>
      </c>
      <c r="N308" s="34">
        <f t="shared" ca="1" si="20"/>
        <v>24</v>
      </c>
      <c r="O308" s="34" t="str">
        <f t="shared" ca="1" si="21"/>
        <v>1-30</v>
      </c>
      <c r="P308" s="35">
        <f t="shared" si="22"/>
        <v>1.0549032346457736E-3</v>
      </c>
      <c r="Q308" s="36">
        <f t="shared" si="23"/>
        <v>0.1</v>
      </c>
      <c r="R308" s="34" t="str">
        <f t="shared" si="24"/>
        <v>&gt;5M</v>
      </c>
    </row>
    <row r="309" spans="4:18">
      <c r="D309" s="25" t="s">
        <v>377</v>
      </c>
      <c r="E309" s="25" t="s">
        <v>378</v>
      </c>
      <c r="F309" s="25" t="s">
        <v>722</v>
      </c>
      <c r="G309" s="26">
        <v>45740</v>
      </c>
      <c r="H309" s="26">
        <v>46027</v>
      </c>
      <c r="I309" s="37">
        <v>4449798</v>
      </c>
      <c r="J309" s="25" t="s">
        <v>52</v>
      </c>
      <c r="K309" s="25" t="s">
        <v>89</v>
      </c>
      <c r="L309" s="25" t="s">
        <v>90</v>
      </c>
      <c r="M309" s="37">
        <v>8899596</v>
      </c>
      <c r="N309" s="34">
        <f t="shared" ca="1" si="20"/>
        <v>56</v>
      </c>
      <c r="O309" s="34" t="str">
        <f t="shared" ca="1" si="21"/>
        <v>31-60</v>
      </c>
      <c r="P309" s="35">
        <f t="shared" si="22"/>
        <v>7.1370489194857458E-4</v>
      </c>
      <c r="Q309" s="36">
        <f t="shared" si="23"/>
        <v>0.5</v>
      </c>
      <c r="R309" s="34" t="str">
        <f t="shared" si="24"/>
        <v>2M-5M</v>
      </c>
    </row>
    <row r="310" spans="4:18">
      <c r="D310" s="25" t="s">
        <v>229</v>
      </c>
      <c r="E310" s="25" t="s">
        <v>230</v>
      </c>
      <c r="F310" s="25" t="s">
        <v>723</v>
      </c>
      <c r="G310" s="26">
        <v>45988</v>
      </c>
      <c r="H310" s="26">
        <v>45977</v>
      </c>
      <c r="I310" s="37">
        <v>2085447</v>
      </c>
      <c r="J310" s="25" t="s">
        <v>99</v>
      </c>
      <c r="K310" s="25" t="s">
        <v>56</v>
      </c>
      <c r="L310" s="25" t="s">
        <v>114</v>
      </c>
      <c r="M310" s="37">
        <v>14598129</v>
      </c>
      <c r="N310" s="34">
        <f t="shared" ca="1" si="20"/>
        <v>106</v>
      </c>
      <c r="O310" s="34" t="str">
        <f t="shared" ca="1" si="21"/>
        <v>90+</v>
      </c>
      <c r="P310" s="35">
        <f t="shared" si="22"/>
        <v>3.3448568357473288E-4</v>
      </c>
      <c r="Q310" s="36">
        <f t="shared" si="23"/>
        <v>0.14285714285714285</v>
      </c>
      <c r="R310" s="34" t="str">
        <f t="shared" si="24"/>
        <v>2M-5M</v>
      </c>
    </row>
    <row r="311" spans="4:18">
      <c r="D311" s="25" t="s">
        <v>318</v>
      </c>
      <c r="E311" s="25" t="s">
        <v>319</v>
      </c>
      <c r="F311" s="25" t="s">
        <v>724</v>
      </c>
      <c r="G311" s="26">
        <v>45742</v>
      </c>
      <c r="H311" s="26">
        <v>46036</v>
      </c>
      <c r="I311" s="37">
        <v>2453768</v>
      </c>
      <c r="J311" s="25" t="s">
        <v>133</v>
      </c>
      <c r="K311" s="25" t="s">
        <v>89</v>
      </c>
      <c r="L311" s="25" t="s">
        <v>95</v>
      </c>
      <c r="M311" s="37">
        <v>24537680</v>
      </c>
      <c r="N311" s="34">
        <f t="shared" ca="1" si="20"/>
        <v>47</v>
      </c>
      <c r="O311" s="34" t="str">
        <f t="shared" ca="1" si="21"/>
        <v>31-60</v>
      </c>
      <c r="P311" s="35">
        <f t="shared" si="22"/>
        <v>3.9356083698785207E-4</v>
      </c>
      <c r="Q311" s="36">
        <f t="shared" si="23"/>
        <v>0.1</v>
      </c>
      <c r="R311" s="34" t="str">
        <f t="shared" si="24"/>
        <v>2M-5M</v>
      </c>
    </row>
    <row r="312" spans="4:18">
      <c r="D312" s="25" t="s">
        <v>273</v>
      </c>
      <c r="E312" s="25" t="s">
        <v>274</v>
      </c>
      <c r="F312" s="25" t="s">
        <v>725</v>
      </c>
      <c r="G312" s="26">
        <v>45815</v>
      </c>
      <c r="H312" s="26">
        <v>46085</v>
      </c>
      <c r="I312" s="37">
        <v>2866162</v>
      </c>
      <c r="J312" s="25" t="s">
        <v>52</v>
      </c>
      <c r="K312" s="25" t="s">
        <v>109</v>
      </c>
      <c r="L312" s="25" t="s">
        <v>138</v>
      </c>
      <c r="M312" s="37">
        <v>5732324</v>
      </c>
      <c r="N312" s="34">
        <f t="shared" ca="1" si="20"/>
        <v>0</v>
      </c>
      <c r="O312" s="34" t="str">
        <f t="shared" ca="1" si="21"/>
        <v>Current</v>
      </c>
      <c r="P312" s="35">
        <f t="shared" si="22"/>
        <v>4.5970487660723262E-4</v>
      </c>
      <c r="Q312" s="36">
        <f t="shared" si="23"/>
        <v>0.5</v>
      </c>
      <c r="R312" s="34" t="str">
        <f t="shared" si="24"/>
        <v>2M-5M</v>
      </c>
    </row>
    <row r="313" spans="4:18">
      <c r="D313" s="25" t="s">
        <v>502</v>
      </c>
      <c r="E313" s="25" t="s">
        <v>503</v>
      </c>
      <c r="F313" s="25" t="s">
        <v>726</v>
      </c>
      <c r="G313" s="26">
        <v>46000</v>
      </c>
      <c r="H313" s="26">
        <v>45901</v>
      </c>
      <c r="I313" s="37">
        <v>1900888</v>
      </c>
      <c r="J313" s="25" t="s">
        <v>52</v>
      </c>
      <c r="K313" s="25" t="s">
        <v>134</v>
      </c>
      <c r="L313" s="25" t="s">
        <v>110</v>
      </c>
      <c r="M313" s="37">
        <v>17107992</v>
      </c>
      <c r="N313" s="34">
        <f t="shared" ca="1" si="20"/>
        <v>182</v>
      </c>
      <c r="O313" s="34" t="str">
        <f t="shared" ca="1" si="21"/>
        <v>90+</v>
      </c>
      <c r="P313" s="35">
        <f t="shared" si="22"/>
        <v>3.0488419129280522E-4</v>
      </c>
      <c r="Q313" s="36">
        <f t="shared" si="23"/>
        <v>0.1111111111111111</v>
      </c>
      <c r="R313" s="34" t="str">
        <f t="shared" si="24"/>
        <v>500K-2M</v>
      </c>
    </row>
    <row r="314" spans="4:18">
      <c r="D314" s="25" t="s">
        <v>727</v>
      </c>
      <c r="E314" s="25" t="s">
        <v>728</v>
      </c>
      <c r="F314" s="25" t="s">
        <v>729</v>
      </c>
      <c r="G314" s="26">
        <v>45772</v>
      </c>
      <c r="H314" s="26">
        <v>45949</v>
      </c>
      <c r="I314" s="37">
        <v>7824546</v>
      </c>
      <c r="J314" s="25" t="s">
        <v>52</v>
      </c>
      <c r="K314" s="25" t="s">
        <v>134</v>
      </c>
      <c r="L314" s="25" t="s">
        <v>90</v>
      </c>
      <c r="M314" s="37">
        <v>39122730</v>
      </c>
      <c r="N314" s="34">
        <f t="shared" ca="1" si="20"/>
        <v>134</v>
      </c>
      <c r="O314" s="34" t="str">
        <f t="shared" ca="1" si="21"/>
        <v>90+</v>
      </c>
      <c r="P314" s="35">
        <f t="shared" si="22"/>
        <v>1.2549820817656559E-3</v>
      </c>
      <c r="Q314" s="36">
        <f t="shared" si="23"/>
        <v>0.2</v>
      </c>
      <c r="R314" s="34" t="str">
        <f t="shared" si="24"/>
        <v>&gt;5M</v>
      </c>
    </row>
    <row r="315" spans="4:18">
      <c r="D315" s="25" t="s">
        <v>730</v>
      </c>
      <c r="E315" s="25" t="s">
        <v>731</v>
      </c>
      <c r="F315" s="25" t="s">
        <v>732</v>
      </c>
      <c r="G315" s="26">
        <v>45740</v>
      </c>
      <c r="H315" s="26">
        <v>46128</v>
      </c>
      <c r="I315" s="37">
        <v>6834800</v>
      </c>
      <c r="J315" s="25" t="s">
        <v>52</v>
      </c>
      <c r="K315" s="25" t="s">
        <v>109</v>
      </c>
      <c r="L315" s="25" t="s">
        <v>121</v>
      </c>
      <c r="M315" s="37">
        <v>34174000</v>
      </c>
      <c r="N315" s="34">
        <f t="shared" ca="1" si="20"/>
        <v>0</v>
      </c>
      <c r="O315" s="34" t="str">
        <f t="shared" ca="1" si="21"/>
        <v>Current</v>
      </c>
      <c r="P315" s="35">
        <f t="shared" si="22"/>
        <v>1.0962363225229814E-3</v>
      </c>
      <c r="Q315" s="36">
        <f t="shared" si="23"/>
        <v>0.2</v>
      </c>
      <c r="R315" s="34" t="str">
        <f t="shared" si="24"/>
        <v>&gt;5M</v>
      </c>
    </row>
    <row r="316" spans="4:18">
      <c r="D316" s="25" t="s">
        <v>733</v>
      </c>
      <c r="E316" s="25" t="s">
        <v>734</v>
      </c>
      <c r="F316" s="25" t="s">
        <v>735</v>
      </c>
      <c r="G316" s="26">
        <v>45726</v>
      </c>
      <c r="H316" s="26">
        <v>46028</v>
      </c>
      <c r="I316" s="37">
        <v>4429673</v>
      </c>
      <c r="J316" s="25" t="s">
        <v>52</v>
      </c>
      <c r="K316" s="25" t="s">
        <v>109</v>
      </c>
      <c r="L316" s="25" t="s">
        <v>90</v>
      </c>
      <c r="M316" s="37">
        <v>35437384</v>
      </c>
      <c r="N316" s="34">
        <f t="shared" ca="1" si="20"/>
        <v>55</v>
      </c>
      <c r="O316" s="34" t="str">
        <f t="shared" ca="1" si="21"/>
        <v>31-60</v>
      </c>
      <c r="P316" s="35">
        <f t="shared" si="22"/>
        <v>7.1047703509968731E-4</v>
      </c>
      <c r="Q316" s="36">
        <f t="shared" si="23"/>
        <v>0.125</v>
      </c>
      <c r="R316" s="34" t="str">
        <f t="shared" si="24"/>
        <v>2M-5M</v>
      </c>
    </row>
    <row r="317" spans="4:18">
      <c r="D317" s="25" t="s">
        <v>122</v>
      </c>
      <c r="E317" s="25" t="s">
        <v>123</v>
      </c>
      <c r="F317" s="25" t="s">
        <v>736</v>
      </c>
      <c r="G317" s="26">
        <v>46026</v>
      </c>
      <c r="H317" s="26">
        <v>45995</v>
      </c>
      <c r="I317" s="37">
        <v>5479520</v>
      </c>
      <c r="J317" s="25" t="s">
        <v>52</v>
      </c>
      <c r="K317" s="25" t="s">
        <v>89</v>
      </c>
      <c r="L317" s="25" t="s">
        <v>110</v>
      </c>
      <c r="M317" s="37">
        <v>21918080</v>
      </c>
      <c r="N317" s="34">
        <f t="shared" ca="1" si="20"/>
        <v>88</v>
      </c>
      <c r="O317" s="34" t="str">
        <f t="shared" ca="1" si="21"/>
        <v>61-90</v>
      </c>
      <c r="P317" s="35">
        <f t="shared" si="22"/>
        <v>8.7886241791875798E-4</v>
      </c>
      <c r="Q317" s="36">
        <f t="shared" si="23"/>
        <v>0.25</v>
      </c>
      <c r="R317" s="34" t="str">
        <f t="shared" si="24"/>
        <v>&gt;5M</v>
      </c>
    </row>
    <row r="318" spans="4:18">
      <c r="D318" s="25" t="s">
        <v>211</v>
      </c>
      <c r="E318" s="25" t="s">
        <v>212</v>
      </c>
      <c r="F318" s="25" t="s">
        <v>737</v>
      </c>
      <c r="G318" s="26">
        <v>45967</v>
      </c>
      <c r="H318" s="26">
        <v>45978</v>
      </c>
      <c r="I318" s="37">
        <v>1817078</v>
      </c>
      <c r="J318" s="25" t="s">
        <v>99</v>
      </c>
      <c r="K318" s="25" t="s">
        <v>56</v>
      </c>
      <c r="L318" s="25" t="s">
        <v>95</v>
      </c>
      <c r="M318" s="37">
        <v>16353702</v>
      </c>
      <c r="N318" s="34">
        <f t="shared" ca="1" si="20"/>
        <v>105</v>
      </c>
      <c r="O318" s="34" t="str">
        <f t="shared" ca="1" si="21"/>
        <v>90+</v>
      </c>
      <c r="P318" s="35">
        <f t="shared" si="22"/>
        <v>2.9144187166521541E-4</v>
      </c>
      <c r="Q318" s="36">
        <f t="shared" si="23"/>
        <v>0.1111111111111111</v>
      </c>
      <c r="R318" s="34" t="str">
        <f t="shared" si="24"/>
        <v>500K-2M</v>
      </c>
    </row>
    <row r="319" spans="4:18">
      <c r="D319" s="25" t="s">
        <v>697</v>
      </c>
      <c r="E319" s="25" t="s">
        <v>698</v>
      </c>
      <c r="F319" s="25" t="s">
        <v>738</v>
      </c>
      <c r="G319" s="26">
        <v>45925</v>
      </c>
      <c r="H319" s="26">
        <v>46022</v>
      </c>
      <c r="I319" s="37">
        <v>6422092</v>
      </c>
      <c r="J319" s="25" t="s">
        <v>133</v>
      </c>
      <c r="K319" s="25" t="s">
        <v>134</v>
      </c>
      <c r="L319" s="25" t="s">
        <v>121</v>
      </c>
      <c r="M319" s="37">
        <v>38532552</v>
      </c>
      <c r="N319" s="34">
        <f t="shared" ca="1" si="20"/>
        <v>61</v>
      </c>
      <c r="O319" s="34" t="str">
        <f t="shared" ca="1" si="21"/>
        <v>61-90</v>
      </c>
      <c r="P319" s="35">
        <f t="shared" si="22"/>
        <v>1.0300419203172382E-3</v>
      </c>
      <c r="Q319" s="36">
        <f t="shared" si="23"/>
        <v>0.16666666666666666</v>
      </c>
      <c r="R319" s="34" t="str">
        <f t="shared" si="24"/>
        <v>&gt;5M</v>
      </c>
    </row>
    <row r="320" spans="4:18">
      <c r="D320" s="25" t="s">
        <v>585</v>
      </c>
      <c r="E320" s="25" t="s">
        <v>586</v>
      </c>
      <c r="F320" s="25" t="s">
        <v>739</v>
      </c>
      <c r="G320" s="26">
        <v>45895</v>
      </c>
      <c r="H320" s="26">
        <v>45909</v>
      </c>
      <c r="I320" s="37">
        <v>5557809</v>
      </c>
      <c r="J320" s="25" t="s">
        <v>52</v>
      </c>
      <c r="K320" s="25" t="s">
        <v>89</v>
      </c>
      <c r="L320" s="25" t="s">
        <v>121</v>
      </c>
      <c r="M320" s="37">
        <v>16673427</v>
      </c>
      <c r="N320" s="34">
        <f t="shared" ca="1" si="20"/>
        <v>174</v>
      </c>
      <c r="O320" s="34" t="str">
        <f t="shared" ca="1" si="21"/>
        <v>90+</v>
      </c>
      <c r="P320" s="35">
        <f t="shared" si="22"/>
        <v>8.9141922213453631E-4</v>
      </c>
      <c r="Q320" s="36">
        <f t="shared" si="23"/>
        <v>0.33333333333333331</v>
      </c>
      <c r="R320" s="34" t="str">
        <f t="shared" si="24"/>
        <v>&gt;5M</v>
      </c>
    </row>
    <row r="321" spans="4:18">
      <c r="D321" s="25" t="s">
        <v>490</v>
      </c>
      <c r="E321" s="25" t="s">
        <v>491</v>
      </c>
      <c r="F321" s="25" t="s">
        <v>740</v>
      </c>
      <c r="G321" s="26">
        <v>45941</v>
      </c>
      <c r="H321" s="26">
        <v>46101</v>
      </c>
      <c r="I321" s="37">
        <v>4131401</v>
      </c>
      <c r="J321" s="25" t="s">
        <v>99</v>
      </c>
      <c r="K321" s="25" t="s">
        <v>125</v>
      </c>
      <c r="L321" s="25" t="s">
        <v>114</v>
      </c>
      <c r="M321" s="37">
        <v>8262802</v>
      </c>
      <c r="N321" s="34">
        <f t="shared" ca="1" si="20"/>
        <v>0</v>
      </c>
      <c r="O321" s="34" t="str">
        <f t="shared" ca="1" si="21"/>
        <v>Current</v>
      </c>
      <c r="P321" s="35">
        <f t="shared" si="22"/>
        <v>6.6263706898632999E-4</v>
      </c>
      <c r="Q321" s="36">
        <f t="shared" si="23"/>
        <v>0.5</v>
      </c>
      <c r="R321" s="34" t="str">
        <f t="shared" si="24"/>
        <v>2M-5M</v>
      </c>
    </row>
    <row r="322" spans="4:18">
      <c r="D322" s="25" t="s">
        <v>741</v>
      </c>
      <c r="E322" s="25" t="s">
        <v>742</v>
      </c>
      <c r="F322" s="25" t="s">
        <v>743</v>
      </c>
      <c r="G322" s="26">
        <v>45933</v>
      </c>
      <c r="H322" s="26">
        <v>45920</v>
      </c>
      <c r="I322" s="37">
        <v>6806778</v>
      </c>
      <c r="J322" s="25" t="s">
        <v>99</v>
      </c>
      <c r="K322" s="25" t="s">
        <v>134</v>
      </c>
      <c r="L322" s="25" t="s">
        <v>95</v>
      </c>
      <c r="M322" s="37">
        <v>61261002</v>
      </c>
      <c r="N322" s="34">
        <f t="shared" ca="1" si="20"/>
        <v>163</v>
      </c>
      <c r="O322" s="34" t="str">
        <f t="shared" ca="1" si="21"/>
        <v>90+</v>
      </c>
      <c r="P322" s="35">
        <f t="shared" si="22"/>
        <v>1.0917418626661109E-3</v>
      </c>
      <c r="Q322" s="36">
        <f t="shared" si="23"/>
        <v>0.1111111111111111</v>
      </c>
      <c r="R322" s="34" t="str">
        <f t="shared" si="24"/>
        <v>&gt;5M</v>
      </c>
    </row>
    <row r="323" spans="4:18">
      <c r="D323" s="25" t="s">
        <v>390</v>
      </c>
      <c r="E323" s="25" t="s">
        <v>391</v>
      </c>
      <c r="F323" s="25" t="s">
        <v>744</v>
      </c>
      <c r="G323" s="26">
        <v>45972</v>
      </c>
      <c r="H323" s="26">
        <v>46070</v>
      </c>
      <c r="I323" s="37">
        <v>7692457</v>
      </c>
      <c r="J323" s="25" t="s">
        <v>52</v>
      </c>
      <c r="K323" s="25" t="s">
        <v>134</v>
      </c>
      <c r="L323" s="25" t="s">
        <v>121</v>
      </c>
      <c r="M323" s="37">
        <v>69232113</v>
      </c>
      <c r="N323" s="34">
        <f t="shared" ca="1" si="20"/>
        <v>13</v>
      </c>
      <c r="O323" s="34" t="str">
        <f t="shared" ca="1" si="21"/>
        <v>1-30</v>
      </c>
      <c r="P323" s="35">
        <f t="shared" si="22"/>
        <v>1.2337962738991875E-3</v>
      </c>
      <c r="Q323" s="36">
        <f t="shared" si="23"/>
        <v>0.1111111111111111</v>
      </c>
      <c r="R323" s="34" t="str">
        <f t="shared" si="24"/>
        <v>&gt;5M</v>
      </c>
    </row>
    <row r="324" spans="4:18">
      <c r="D324" s="25" t="s">
        <v>174</v>
      </c>
      <c r="E324" s="25" t="s">
        <v>175</v>
      </c>
      <c r="F324" s="25" t="s">
        <v>745</v>
      </c>
      <c r="G324" s="26">
        <v>46000</v>
      </c>
      <c r="H324" s="26">
        <v>46106</v>
      </c>
      <c r="I324" s="37">
        <v>4001297</v>
      </c>
      <c r="J324" s="25" t="s">
        <v>52</v>
      </c>
      <c r="K324" s="25" t="s">
        <v>109</v>
      </c>
      <c r="L324" s="25" t="s">
        <v>121</v>
      </c>
      <c r="M324" s="37">
        <v>12003891</v>
      </c>
      <c r="N324" s="34">
        <f t="shared" ca="1" si="20"/>
        <v>0</v>
      </c>
      <c r="O324" s="34" t="str">
        <f t="shared" ca="1" si="21"/>
        <v>Current</v>
      </c>
      <c r="P324" s="35">
        <f t="shared" si="22"/>
        <v>6.4176963606868355E-4</v>
      </c>
      <c r="Q324" s="36">
        <f t="shared" si="23"/>
        <v>0.33333333333333331</v>
      </c>
      <c r="R324" s="34" t="str">
        <f t="shared" si="24"/>
        <v>2M-5M</v>
      </c>
    </row>
    <row r="325" spans="4:18">
      <c r="D325" s="25" t="s">
        <v>373</v>
      </c>
      <c r="E325" s="25" t="s">
        <v>374</v>
      </c>
      <c r="F325" s="25" t="s">
        <v>746</v>
      </c>
      <c r="G325" s="26">
        <v>45819</v>
      </c>
      <c r="H325" s="26">
        <v>46002</v>
      </c>
      <c r="I325" s="37">
        <v>7081999</v>
      </c>
      <c r="J325" s="25" t="s">
        <v>99</v>
      </c>
      <c r="K325" s="25" t="s">
        <v>109</v>
      </c>
      <c r="L325" s="25" t="s">
        <v>95</v>
      </c>
      <c r="M325" s="37">
        <v>70819990</v>
      </c>
      <c r="N325" s="34">
        <f t="shared" ca="1" si="20"/>
        <v>81</v>
      </c>
      <c r="O325" s="34" t="str">
        <f t="shared" ca="1" si="21"/>
        <v>61-90</v>
      </c>
      <c r="P325" s="35">
        <f t="shared" si="22"/>
        <v>1.1358846696130731E-3</v>
      </c>
      <c r="Q325" s="36">
        <f t="shared" si="23"/>
        <v>0.1</v>
      </c>
      <c r="R325" s="34" t="str">
        <f t="shared" si="24"/>
        <v>&gt;5M</v>
      </c>
    </row>
    <row r="326" spans="4:18">
      <c r="D326" s="25" t="s">
        <v>177</v>
      </c>
      <c r="E326" s="25" t="s">
        <v>178</v>
      </c>
      <c r="F326" s="25" t="s">
        <v>747</v>
      </c>
      <c r="G326" s="26">
        <v>45721</v>
      </c>
      <c r="H326" s="26">
        <v>45977</v>
      </c>
      <c r="I326" s="37">
        <v>1133160</v>
      </c>
      <c r="J326" s="25" t="s">
        <v>52</v>
      </c>
      <c r="K326" s="25" t="s">
        <v>109</v>
      </c>
      <c r="L326" s="25" t="s">
        <v>110</v>
      </c>
      <c r="M326" s="37">
        <v>7932120</v>
      </c>
      <c r="N326" s="34">
        <f t="shared" ca="1" si="20"/>
        <v>106</v>
      </c>
      <c r="O326" s="34" t="str">
        <f t="shared" ca="1" si="21"/>
        <v>90+</v>
      </c>
      <c r="P326" s="35">
        <f t="shared" si="22"/>
        <v>1.8174798841665325E-4</v>
      </c>
      <c r="Q326" s="36">
        <f t="shared" si="23"/>
        <v>0.14285714285714285</v>
      </c>
      <c r="R326" s="34" t="str">
        <f t="shared" si="24"/>
        <v>500K-2M</v>
      </c>
    </row>
    <row r="327" spans="4:18">
      <c r="D327" s="25" t="s">
        <v>165</v>
      </c>
      <c r="E327" s="25" t="s">
        <v>166</v>
      </c>
      <c r="F327" s="25" t="s">
        <v>748</v>
      </c>
      <c r="G327" s="26">
        <v>46016</v>
      </c>
      <c r="H327" s="26">
        <v>46123</v>
      </c>
      <c r="I327" s="37">
        <v>1920902</v>
      </c>
      <c r="J327" s="25" t="s">
        <v>99</v>
      </c>
      <c r="K327" s="25" t="s">
        <v>109</v>
      </c>
      <c r="L327" s="25" t="s">
        <v>114</v>
      </c>
      <c r="M327" s="37">
        <v>9604510</v>
      </c>
      <c r="N327" s="34">
        <f t="shared" ca="1" si="20"/>
        <v>0</v>
      </c>
      <c r="O327" s="34" t="str">
        <f t="shared" ca="1" si="21"/>
        <v>Current</v>
      </c>
      <c r="P327" s="35">
        <f t="shared" si="22"/>
        <v>3.0809424480702287E-4</v>
      </c>
      <c r="Q327" s="36">
        <f t="shared" si="23"/>
        <v>0.2</v>
      </c>
      <c r="R327" s="34" t="str">
        <f t="shared" si="24"/>
        <v>500K-2M</v>
      </c>
    </row>
    <row r="328" spans="4:18">
      <c r="D328" s="25" t="s">
        <v>664</v>
      </c>
      <c r="E328" s="25" t="s">
        <v>665</v>
      </c>
      <c r="F328" s="25" t="s">
        <v>749</v>
      </c>
      <c r="G328" s="26">
        <v>46033</v>
      </c>
      <c r="H328" s="26">
        <v>46106</v>
      </c>
      <c r="I328" s="37">
        <v>5839753</v>
      </c>
      <c r="J328" s="25" t="s">
        <v>99</v>
      </c>
      <c r="K328" s="25" t="s">
        <v>94</v>
      </c>
      <c r="L328" s="25" t="s">
        <v>121</v>
      </c>
      <c r="M328" s="37">
        <v>40878271</v>
      </c>
      <c r="N328" s="34">
        <f t="shared" ref="N328:N391" ca="1" si="25">MAX(0,TODAY()-H328)</f>
        <v>0</v>
      </c>
      <c r="O328" s="34" t="str">
        <f t="shared" ref="O328:O391" ca="1" si="26">IF(N328&lt;=0,"Current",
IF(N328&lt;=30,"1-30",
IF(N328&lt;=60,"31-60",
IF(N328&lt;=90,"61-90","90+"))))</f>
        <v>Current</v>
      </c>
      <c r="P328" s="35">
        <f t="shared" ref="P328:P391" si="27">I328/SUM($I$7:$I$438)</f>
        <v>9.3664033375703002E-4</v>
      </c>
      <c r="Q328" s="36">
        <f t="shared" ref="Q328:Q391" si="28">I328/M328</f>
        <v>0.14285714285714285</v>
      </c>
      <c r="R328" s="34" t="str">
        <f t="shared" ref="R328:R391" si="29">IF(I328&lt;500000,"&lt;500K",
IF(I328&lt;2000000,"500K-2M",
IF(I328&lt;5000000,"2M-5M","&gt;5M")))</f>
        <v>&gt;5M</v>
      </c>
    </row>
    <row r="329" spans="4:18">
      <c r="D329" s="25" t="s">
        <v>426</v>
      </c>
      <c r="E329" s="25" t="s">
        <v>427</v>
      </c>
      <c r="F329" s="25" t="s">
        <v>750</v>
      </c>
      <c r="G329" s="26">
        <v>45726</v>
      </c>
      <c r="H329" s="26">
        <v>45919</v>
      </c>
      <c r="I329" s="37">
        <v>2504123</v>
      </c>
      <c r="J329" s="25" t="s">
        <v>52</v>
      </c>
      <c r="K329" s="25" t="s">
        <v>125</v>
      </c>
      <c r="L329" s="25" t="s">
        <v>121</v>
      </c>
      <c r="M329" s="37">
        <v>15024738</v>
      </c>
      <c r="N329" s="34">
        <f t="shared" ca="1" si="25"/>
        <v>164</v>
      </c>
      <c r="O329" s="34" t="str">
        <f t="shared" ca="1" si="26"/>
        <v>90+</v>
      </c>
      <c r="P329" s="35">
        <f t="shared" si="27"/>
        <v>4.0163729570217357E-4</v>
      </c>
      <c r="Q329" s="36">
        <f t="shared" si="28"/>
        <v>0.16666666666666666</v>
      </c>
      <c r="R329" s="34" t="str">
        <f t="shared" si="29"/>
        <v>2M-5M</v>
      </c>
    </row>
    <row r="330" spans="4:18">
      <c r="D330" s="25" t="s">
        <v>502</v>
      </c>
      <c r="E330" s="25" t="s">
        <v>503</v>
      </c>
      <c r="F330" s="25" t="s">
        <v>751</v>
      </c>
      <c r="G330" s="26">
        <v>46043</v>
      </c>
      <c r="H330" s="26">
        <v>46052</v>
      </c>
      <c r="I330" s="37">
        <v>7587801</v>
      </c>
      <c r="J330" s="25" t="s">
        <v>133</v>
      </c>
      <c r="K330" s="25" t="s">
        <v>56</v>
      </c>
      <c r="L330" s="25" t="s">
        <v>90</v>
      </c>
      <c r="M330" s="37">
        <v>22763403</v>
      </c>
      <c r="N330" s="34">
        <f t="shared" ca="1" si="25"/>
        <v>31</v>
      </c>
      <c r="O330" s="34" t="str">
        <f t="shared" ca="1" si="26"/>
        <v>31-60</v>
      </c>
      <c r="P330" s="35">
        <f t="shared" si="27"/>
        <v>1.2170104559425588E-3</v>
      </c>
      <c r="Q330" s="36">
        <f t="shared" si="28"/>
        <v>0.33333333333333331</v>
      </c>
      <c r="R330" s="34" t="str">
        <f t="shared" si="29"/>
        <v>&gt;5M</v>
      </c>
    </row>
    <row r="331" spans="4:18">
      <c r="D331" s="25" t="s">
        <v>697</v>
      </c>
      <c r="E331" s="25" t="s">
        <v>698</v>
      </c>
      <c r="F331" s="25" t="s">
        <v>752</v>
      </c>
      <c r="G331" s="26">
        <v>45814</v>
      </c>
      <c r="H331" s="26">
        <v>45967</v>
      </c>
      <c r="I331" s="37">
        <v>7705640</v>
      </c>
      <c r="J331" s="25" t="s">
        <v>52</v>
      </c>
      <c r="K331" s="25" t="s">
        <v>94</v>
      </c>
      <c r="L331" s="25" t="s">
        <v>110</v>
      </c>
      <c r="M331" s="37">
        <v>69350760</v>
      </c>
      <c r="N331" s="34">
        <f t="shared" ca="1" si="25"/>
        <v>116</v>
      </c>
      <c r="O331" s="34" t="str">
        <f t="shared" ca="1" si="26"/>
        <v>90+</v>
      </c>
      <c r="P331" s="35">
        <f t="shared" si="27"/>
        <v>1.2359107005744114E-3</v>
      </c>
      <c r="Q331" s="36">
        <f t="shared" si="28"/>
        <v>0.1111111111111111</v>
      </c>
      <c r="R331" s="34" t="str">
        <f t="shared" si="29"/>
        <v>&gt;5M</v>
      </c>
    </row>
    <row r="332" spans="4:18">
      <c r="D332" s="25" t="s">
        <v>733</v>
      </c>
      <c r="E332" s="25" t="s">
        <v>734</v>
      </c>
      <c r="F332" s="25" t="s">
        <v>753</v>
      </c>
      <c r="G332" s="26">
        <v>45769</v>
      </c>
      <c r="H332" s="26">
        <v>45919</v>
      </c>
      <c r="I332" s="37">
        <v>7135232</v>
      </c>
      <c r="J332" s="25" t="s">
        <v>52</v>
      </c>
      <c r="K332" s="25" t="s">
        <v>134</v>
      </c>
      <c r="L332" s="25" t="s">
        <v>95</v>
      </c>
      <c r="M332" s="37">
        <v>35676160</v>
      </c>
      <c r="N332" s="34">
        <f t="shared" ca="1" si="25"/>
        <v>164</v>
      </c>
      <c r="O332" s="34" t="str">
        <f t="shared" ca="1" si="26"/>
        <v>90+</v>
      </c>
      <c r="P332" s="35">
        <f t="shared" si="27"/>
        <v>1.1444227319055858E-3</v>
      </c>
      <c r="Q332" s="36">
        <f t="shared" si="28"/>
        <v>0.2</v>
      </c>
      <c r="R332" s="34" t="str">
        <f t="shared" si="29"/>
        <v>&gt;5M</v>
      </c>
    </row>
    <row r="333" spans="4:18">
      <c r="D333" s="25" t="s">
        <v>309</v>
      </c>
      <c r="E333" s="25" t="s">
        <v>310</v>
      </c>
      <c r="F333" s="25" t="s">
        <v>754</v>
      </c>
      <c r="G333" s="26">
        <v>45774</v>
      </c>
      <c r="H333" s="26">
        <v>46128</v>
      </c>
      <c r="I333" s="37">
        <v>4826217</v>
      </c>
      <c r="J333" s="25" t="s">
        <v>52</v>
      </c>
      <c r="K333" s="25" t="s">
        <v>134</v>
      </c>
      <c r="L333" s="25" t="s">
        <v>95</v>
      </c>
      <c r="M333" s="37">
        <v>48262170</v>
      </c>
      <c r="N333" s="34">
        <f t="shared" ca="1" si="25"/>
        <v>0</v>
      </c>
      <c r="O333" s="34" t="str">
        <f t="shared" ca="1" si="26"/>
        <v>Current</v>
      </c>
      <c r="P333" s="35">
        <f t="shared" si="27"/>
        <v>7.7407888684056538E-4</v>
      </c>
      <c r="Q333" s="36">
        <f t="shared" si="28"/>
        <v>0.1</v>
      </c>
      <c r="R333" s="34" t="str">
        <f t="shared" si="29"/>
        <v>2M-5M</v>
      </c>
    </row>
    <row r="334" spans="4:18">
      <c r="D334" s="25" t="s">
        <v>306</v>
      </c>
      <c r="E334" s="25" t="s">
        <v>307</v>
      </c>
      <c r="F334" s="25" t="s">
        <v>755</v>
      </c>
      <c r="G334" s="26">
        <v>45792</v>
      </c>
      <c r="H334" s="26">
        <v>45961</v>
      </c>
      <c r="I334" s="37">
        <v>4207604</v>
      </c>
      <c r="J334" s="25" t="s">
        <v>52</v>
      </c>
      <c r="K334" s="25" t="s">
        <v>94</v>
      </c>
      <c r="L334" s="25" t="s">
        <v>90</v>
      </c>
      <c r="M334" s="37">
        <v>12622812</v>
      </c>
      <c r="N334" s="34">
        <f t="shared" ca="1" si="25"/>
        <v>122</v>
      </c>
      <c r="O334" s="34" t="str">
        <f t="shared" ca="1" si="26"/>
        <v>90+</v>
      </c>
      <c r="P334" s="35">
        <f t="shared" si="27"/>
        <v>6.7485929882264099E-4</v>
      </c>
      <c r="Q334" s="36">
        <f t="shared" si="28"/>
        <v>0.33333333333333331</v>
      </c>
      <c r="R334" s="34" t="str">
        <f t="shared" si="29"/>
        <v>2M-5M</v>
      </c>
    </row>
    <row r="335" spans="4:18">
      <c r="D335" s="25" t="s">
        <v>198</v>
      </c>
      <c r="E335" s="25" t="s">
        <v>199</v>
      </c>
      <c r="F335" s="25" t="s">
        <v>756</v>
      </c>
      <c r="G335" s="26">
        <v>45903</v>
      </c>
      <c r="H335" s="26">
        <v>46069</v>
      </c>
      <c r="I335" s="37">
        <v>5947352</v>
      </c>
      <c r="J335" s="25" t="s">
        <v>52</v>
      </c>
      <c r="K335" s="25" t="s">
        <v>134</v>
      </c>
      <c r="L335" s="25" t="s">
        <v>110</v>
      </c>
      <c r="M335" s="37">
        <v>17842056</v>
      </c>
      <c r="N335" s="34">
        <f t="shared" ca="1" si="25"/>
        <v>14</v>
      </c>
      <c r="O335" s="34" t="str">
        <f t="shared" ca="1" si="26"/>
        <v>1-30</v>
      </c>
      <c r="P335" s="35">
        <f t="shared" si="27"/>
        <v>9.5389818066800769E-4</v>
      </c>
      <c r="Q335" s="36">
        <f t="shared" si="28"/>
        <v>0.33333333333333331</v>
      </c>
      <c r="R335" s="34" t="str">
        <f t="shared" si="29"/>
        <v>&gt;5M</v>
      </c>
    </row>
    <row r="336" spans="4:18">
      <c r="D336" s="25" t="s">
        <v>559</v>
      </c>
      <c r="E336" s="25" t="s">
        <v>560</v>
      </c>
      <c r="F336" s="25" t="s">
        <v>757</v>
      </c>
      <c r="G336" s="26">
        <v>45939</v>
      </c>
      <c r="H336" s="26">
        <v>45995</v>
      </c>
      <c r="I336" s="37">
        <v>7642530</v>
      </c>
      <c r="J336" s="25" t="s">
        <v>52</v>
      </c>
      <c r="K336" s="25" t="s">
        <v>94</v>
      </c>
      <c r="L336" s="25" t="s">
        <v>138</v>
      </c>
      <c r="M336" s="37">
        <v>15285060</v>
      </c>
      <c r="N336" s="34">
        <f t="shared" ca="1" si="25"/>
        <v>88</v>
      </c>
      <c r="O336" s="34" t="str">
        <f t="shared" ca="1" si="26"/>
        <v>61-90</v>
      </c>
      <c r="P336" s="35">
        <f t="shared" si="27"/>
        <v>1.2257884622771057E-3</v>
      </c>
      <c r="Q336" s="36">
        <f t="shared" si="28"/>
        <v>0.5</v>
      </c>
      <c r="R336" s="34" t="str">
        <f t="shared" si="29"/>
        <v>&gt;5M</v>
      </c>
    </row>
    <row r="337" spans="4:18">
      <c r="D337" s="25" t="s">
        <v>758</v>
      </c>
      <c r="E337" s="25" t="s">
        <v>759</v>
      </c>
      <c r="F337" s="25" t="s">
        <v>760</v>
      </c>
      <c r="G337" s="26">
        <v>45773</v>
      </c>
      <c r="H337" s="26">
        <v>45955</v>
      </c>
      <c r="I337" s="37">
        <v>1105061</v>
      </c>
      <c r="J337" s="25" t="s">
        <v>52</v>
      </c>
      <c r="K337" s="25" t="s">
        <v>109</v>
      </c>
      <c r="L337" s="25" t="s">
        <v>90</v>
      </c>
      <c r="M337" s="37">
        <v>9945549</v>
      </c>
      <c r="N337" s="34">
        <f t="shared" ca="1" si="25"/>
        <v>128</v>
      </c>
      <c r="O337" s="34" t="str">
        <f t="shared" ca="1" si="26"/>
        <v>90+</v>
      </c>
      <c r="P337" s="35">
        <f t="shared" si="27"/>
        <v>1.7724117849879563E-4</v>
      </c>
      <c r="Q337" s="36">
        <f t="shared" si="28"/>
        <v>0.1111111111111111</v>
      </c>
      <c r="R337" s="34" t="str">
        <f t="shared" si="29"/>
        <v>500K-2M</v>
      </c>
    </row>
    <row r="338" spans="4:18">
      <c r="D338" s="25" t="s">
        <v>761</v>
      </c>
      <c r="E338" s="25" t="s">
        <v>762</v>
      </c>
      <c r="F338" s="25" t="s">
        <v>763</v>
      </c>
      <c r="G338" s="26">
        <v>45940</v>
      </c>
      <c r="H338" s="26">
        <v>46070</v>
      </c>
      <c r="I338" s="37">
        <v>6012545</v>
      </c>
      <c r="J338" s="25" t="s">
        <v>52</v>
      </c>
      <c r="K338" s="25" t="s">
        <v>134</v>
      </c>
      <c r="L338" s="25" t="s">
        <v>90</v>
      </c>
      <c r="M338" s="37">
        <v>30062725</v>
      </c>
      <c r="N338" s="34">
        <f t="shared" ca="1" si="25"/>
        <v>13</v>
      </c>
      <c r="O338" s="34" t="str">
        <f t="shared" ca="1" si="26"/>
        <v>1-30</v>
      </c>
      <c r="P338" s="35">
        <f t="shared" si="27"/>
        <v>9.6435451217357336E-4</v>
      </c>
      <c r="Q338" s="36">
        <f t="shared" si="28"/>
        <v>0.2</v>
      </c>
      <c r="R338" s="34" t="str">
        <f t="shared" si="29"/>
        <v>&gt;5M</v>
      </c>
    </row>
    <row r="339" spans="4:18">
      <c r="D339" s="25" t="s">
        <v>764</v>
      </c>
      <c r="E339" s="25" t="s">
        <v>765</v>
      </c>
      <c r="F339" s="25" t="s">
        <v>766</v>
      </c>
      <c r="G339" s="26">
        <v>45761</v>
      </c>
      <c r="H339" s="26">
        <v>45947</v>
      </c>
      <c r="I339" s="37">
        <v>3602036</v>
      </c>
      <c r="J339" s="25" t="s">
        <v>52</v>
      </c>
      <c r="K339" s="25" t="s">
        <v>109</v>
      </c>
      <c r="L339" s="25" t="s">
        <v>95</v>
      </c>
      <c r="M339" s="37">
        <v>21612216</v>
      </c>
      <c r="N339" s="34">
        <f t="shared" ca="1" si="25"/>
        <v>136</v>
      </c>
      <c r="O339" s="34" t="str">
        <f t="shared" ca="1" si="26"/>
        <v>90+</v>
      </c>
      <c r="P339" s="35">
        <f t="shared" si="27"/>
        <v>5.7773200360440537E-4</v>
      </c>
      <c r="Q339" s="36">
        <f t="shared" si="28"/>
        <v>0.16666666666666666</v>
      </c>
      <c r="R339" s="34" t="str">
        <f t="shared" si="29"/>
        <v>2M-5M</v>
      </c>
    </row>
    <row r="340" spans="4:18">
      <c r="D340" s="25" t="s">
        <v>100</v>
      </c>
      <c r="E340" s="25" t="s">
        <v>101</v>
      </c>
      <c r="F340" s="25" t="s">
        <v>194</v>
      </c>
      <c r="G340" s="26">
        <v>45993</v>
      </c>
      <c r="H340" s="26">
        <v>45964</v>
      </c>
      <c r="I340" s="37">
        <v>3914535</v>
      </c>
      <c r="J340" s="25" t="s">
        <v>99</v>
      </c>
      <c r="K340" s="25" t="s">
        <v>89</v>
      </c>
      <c r="L340" s="25" t="s">
        <v>95</v>
      </c>
      <c r="M340" s="37">
        <v>35230815</v>
      </c>
      <c r="N340" s="34">
        <f t="shared" ca="1" si="25"/>
        <v>119</v>
      </c>
      <c r="O340" s="34" t="str">
        <f t="shared" ca="1" si="26"/>
        <v>90+</v>
      </c>
      <c r="P340" s="35">
        <f t="shared" si="27"/>
        <v>6.2785384397312277E-4</v>
      </c>
      <c r="Q340" s="36">
        <f t="shared" si="28"/>
        <v>0.1111111111111111</v>
      </c>
      <c r="R340" s="34" t="str">
        <f t="shared" si="29"/>
        <v>2M-5M</v>
      </c>
    </row>
    <row r="341" spans="4:18">
      <c r="D341" s="25" t="s">
        <v>767</v>
      </c>
      <c r="E341" s="25" t="s">
        <v>768</v>
      </c>
      <c r="F341" s="25" t="s">
        <v>769</v>
      </c>
      <c r="G341" s="26">
        <v>45944</v>
      </c>
      <c r="H341" s="26">
        <v>45949</v>
      </c>
      <c r="I341" s="37">
        <v>1014552</v>
      </c>
      <c r="J341" s="25" t="s">
        <v>52</v>
      </c>
      <c r="K341" s="25" t="s">
        <v>134</v>
      </c>
      <c r="L341" s="25" t="s">
        <v>114</v>
      </c>
      <c r="M341" s="37">
        <v>2029104</v>
      </c>
      <c r="N341" s="34">
        <f t="shared" ca="1" si="25"/>
        <v>134</v>
      </c>
      <c r="O341" s="34" t="str">
        <f t="shared" ca="1" si="26"/>
        <v>90+</v>
      </c>
      <c r="P341" s="35">
        <f t="shared" si="27"/>
        <v>1.6272440356533268E-4</v>
      </c>
      <c r="Q341" s="36">
        <f t="shared" si="28"/>
        <v>0.5</v>
      </c>
      <c r="R341" s="34" t="str">
        <f t="shared" si="29"/>
        <v>500K-2M</v>
      </c>
    </row>
    <row r="342" spans="4:18">
      <c r="D342" s="25" t="s">
        <v>416</v>
      </c>
      <c r="E342" s="25" t="s">
        <v>417</v>
      </c>
      <c r="F342" s="25" t="s">
        <v>770</v>
      </c>
      <c r="G342" s="26">
        <v>45922</v>
      </c>
      <c r="H342" s="26">
        <v>46017</v>
      </c>
      <c r="I342" s="37">
        <v>7627181</v>
      </c>
      <c r="J342" s="25" t="s">
        <v>52</v>
      </c>
      <c r="K342" s="25" t="s">
        <v>125</v>
      </c>
      <c r="L342" s="25" t="s">
        <v>90</v>
      </c>
      <c r="M342" s="37">
        <v>61017448</v>
      </c>
      <c r="N342" s="34">
        <f t="shared" ca="1" si="25"/>
        <v>66</v>
      </c>
      <c r="O342" s="34" t="str">
        <f t="shared" ca="1" si="26"/>
        <v>61-90</v>
      </c>
      <c r="P342" s="35">
        <f t="shared" si="27"/>
        <v>1.22332662999022E-3</v>
      </c>
      <c r="Q342" s="36">
        <f t="shared" si="28"/>
        <v>0.125</v>
      </c>
      <c r="R342" s="34" t="str">
        <f t="shared" si="29"/>
        <v>&gt;5M</v>
      </c>
    </row>
    <row r="343" spans="4:18">
      <c r="D343" s="25" t="s">
        <v>201</v>
      </c>
      <c r="E343" s="25" t="s">
        <v>202</v>
      </c>
      <c r="F343" s="25" t="s">
        <v>771</v>
      </c>
      <c r="G343" s="26">
        <v>45762</v>
      </c>
      <c r="H343" s="26">
        <v>45959</v>
      </c>
      <c r="I343" s="37">
        <v>7080837</v>
      </c>
      <c r="J343" s="25" t="s">
        <v>52</v>
      </c>
      <c r="K343" s="25" t="s">
        <v>89</v>
      </c>
      <c r="L343" s="25" t="s">
        <v>114</v>
      </c>
      <c r="M343" s="37">
        <v>70808370</v>
      </c>
      <c r="N343" s="34">
        <f t="shared" ca="1" si="25"/>
        <v>124</v>
      </c>
      <c r="O343" s="34" t="str">
        <f t="shared" ca="1" si="26"/>
        <v>90+</v>
      </c>
      <c r="P343" s="35">
        <f t="shared" si="27"/>
        <v>1.1356982959654504E-3</v>
      </c>
      <c r="Q343" s="36">
        <f t="shared" si="28"/>
        <v>0.1</v>
      </c>
      <c r="R343" s="34" t="str">
        <f t="shared" si="29"/>
        <v>&gt;5M</v>
      </c>
    </row>
    <row r="344" spans="4:18">
      <c r="D344" s="25" t="s">
        <v>287</v>
      </c>
      <c r="E344" s="25" t="s">
        <v>288</v>
      </c>
      <c r="F344" s="25" t="s">
        <v>772</v>
      </c>
      <c r="G344" s="26">
        <v>45880</v>
      </c>
      <c r="H344" s="26">
        <v>46051</v>
      </c>
      <c r="I344" s="37">
        <v>1176873</v>
      </c>
      <c r="J344" s="25" t="s">
        <v>52</v>
      </c>
      <c r="K344" s="25" t="s">
        <v>109</v>
      </c>
      <c r="L344" s="25" t="s">
        <v>138</v>
      </c>
      <c r="M344" s="37">
        <v>3530619</v>
      </c>
      <c r="N344" s="34">
        <f t="shared" ca="1" si="25"/>
        <v>32</v>
      </c>
      <c r="O344" s="34" t="str">
        <f t="shared" ca="1" si="26"/>
        <v>31-60</v>
      </c>
      <c r="P344" s="35">
        <f t="shared" si="27"/>
        <v>1.8875913407804013E-4</v>
      </c>
      <c r="Q344" s="36">
        <f t="shared" si="28"/>
        <v>0.33333333333333331</v>
      </c>
      <c r="R344" s="34" t="str">
        <f t="shared" si="29"/>
        <v>500K-2M</v>
      </c>
    </row>
    <row r="345" spans="4:18">
      <c r="D345" s="25" t="s">
        <v>502</v>
      </c>
      <c r="E345" s="25" t="s">
        <v>503</v>
      </c>
      <c r="F345" s="25" t="s">
        <v>773</v>
      </c>
      <c r="G345" s="26">
        <v>45787</v>
      </c>
      <c r="H345" s="26">
        <v>46055</v>
      </c>
      <c r="I345" s="37">
        <v>2059453</v>
      </c>
      <c r="J345" s="25" t="s">
        <v>99</v>
      </c>
      <c r="K345" s="25" t="s">
        <v>89</v>
      </c>
      <c r="L345" s="25" t="s">
        <v>121</v>
      </c>
      <c r="M345" s="37">
        <v>8237812</v>
      </c>
      <c r="N345" s="34">
        <f t="shared" ca="1" si="25"/>
        <v>28</v>
      </c>
      <c r="O345" s="34" t="str">
        <f t="shared" ca="1" si="26"/>
        <v>1-30</v>
      </c>
      <c r="P345" s="35">
        <f t="shared" si="27"/>
        <v>3.3031649545398864E-4</v>
      </c>
      <c r="Q345" s="36">
        <f t="shared" si="28"/>
        <v>0.25</v>
      </c>
      <c r="R345" s="34" t="str">
        <f t="shared" si="29"/>
        <v>2M-5M</v>
      </c>
    </row>
    <row r="346" spans="4:18">
      <c r="D346" s="25" t="s">
        <v>502</v>
      </c>
      <c r="E346" s="25" t="s">
        <v>503</v>
      </c>
      <c r="F346" s="25" t="s">
        <v>774</v>
      </c>
      <c r="G346" s="26">
        <v>45785</v>
      </c>
      <c r="H346" s="26">
        <v>46084</v>
      </c>
      <c r="I346" s="37">
        <v>1712349</v>
      </c>
      <c r="J346" s="25" t="s">
        <v>52</v>
      </c>
      <c r="K346" s="25" t="s">
        <v>94</v>
      </c>
      <c r="L346" s="25" t="s">
        <v>110</v>
      </c>
      <c r="M346" s="37">
        <v>11986443</v>
      </c>
      <c r="N346" s="34">
        <f t="shared" ca="1" si="25"/>
        <v>0</v>
      </c>
      <c r="O346" s="34" t="str">
        <f t="shared" ca="1" si="26"/>
        <v>Current</v>
      </c>
      <c r="P346" s="35">
        <f t="shared" si="27"/>
        <v>2.7464434520920947E-4</v>
      </c>
      <c r="Q346" s="36">
        <f t="shared" si="28"/>
        <v>0.14285714285714285</v>
      </c>
      <c r="R346" s="34" t="str">
        <f t="shared" si="29"/>
        <v>500K-2M</v>
      </c>
    </row>
    <row r="347" spans="4:18">
      <c r="D347" s="25" t="s">
        <v>639</v>
      </c>
      <c r="E347" s="25" t="s">
        <v>640</v>
      </c>
      <c r="F347" s="25" t="s">
        <v>775</v>
      </c>
      <c r="G347" s="26">
        <v>45766</v>
      </c>
      <c r="H347" s="26">
        <v>46056</v>
      </c>
      <c r="I347" s="37">
        <v>4667394</v>
      </c>
      <c r="J347" s="25" t="s">
        <v>133</v>
      </c>
      <c r="K347" s="25" t="s">
        <v>125</v>
      </c>
      <c r="L347" s="25" t="s">
        <v>90</v>
      </c>
      <c r="M347" s="37">
        <v>18669576</v>
      </c>
      <c r="N347" s="34">
        <f t="shared" ca="1" si="25"/>
        <v>27</v>
      </c>
      <c r="O347" s="34" t="str">
        <f t="shared" ca="1" si="26"/>
        <v>1-30</v>
      </c>
      <c r="P347" s="35">
        <f t="shared" si="27"/>
        <v>7.486052019555552E-4</v>
      </c>
      <c r="Q347" s="36">
        <f t="shared" si="28"/>
        <v>0.25</v>
      </c>
      <c r="R347" s="34" t="str">
        <f t="shared" si="29"/>
        <v>2M-5M</v>
      </c>
    </row>
    <row r="348" spans="4:18">
      <c r="D348" s="25" t="s">
        <v>776</v>
      </c>
      <c r="E348" s="25" t="s">
        <v>777</v>
      </c>
      <c r="F348" s="25" t="s">
        <v>778</v>
      </c>
      <c r="G348" s="26">
        <v>45718</v>
      </c>
      <c r="H348" s="26">
        <v>45935</v>
      </c>
      <c r="I348" s="37">
        <v>1682387</v>
      </c>
      <c r="J348" s="25" t="s">
        <v>52</v>
      </c>
      <c r="K348" s="25" t="s">
        <v>125</v>
      </c>
      <c r="L348" s="25" t="s">
        <v>90</v>
      </c>
      <c r="M348" s="37">
        <v>5047161</v>
      </c>
      <c r="N348" s="34">
        <f t="shared" ca="1" si="25"/>
        <v>148</v>
      </c>
      <c r="O348" s="34" t="str">
        <f t="shared" ca="1" si="26"/>
        <v>90+</v>
      </c>
      <c r="P348" s="35">
        <f t="shared" si="27"/>
        <v>2.6983872797162629E-4</v>
      </c>
      <c r="Q348" s="36">
        <f t="shared" si="28"/>
        <v>0.33333333333333331</v>
      </c>
      <c r="R348" s="34" t="str">
        <f t="shared" si="29"/>
        <v>500K-2M</v>
      </c>
    </row>
    <row r="349" spans="4:18">
      <c r="D349" s="25" t="s">
        <v>664</v>
      </c>
      <c r="E349" s="25" t="s">
        <v>665</v>
      </c>
      <c r="F349" s="25" t="s">
        <v>779</v>
      </c>
      <c r="G349" s="26">
        <v>45999</v>
      </c>
      <c r="H349" s="26">
        <v>46010</v>
      </c>
      <c r="I349" s="37">
        <v>4142447</v>
      </c>
      <c r="J349" s="25" t="s">
        <v>52</v>
      </c>
      <c r="K349" s="25" t="s">
        <v>56</v>
      </c>
      <c r="L349" s="25" t="s">
        <v>95</v>
      </c>
      <c r="M349" s="37">
        <v>24854682</v>
      </c>
      <c r="N349" s="34">
        <f t="shared" ca="1" si="25"/>
        <v>73</v>
      </c>
      <c r="O349" s="34" t="str">
        <f t="shared" ca="1" si="26"/>
        <v>61-90</v>
      </c>
      <c r="P349" s="35">
        <f t="shared" si="27"/>
        <v>6.6440874137156268E-4</v>
      </c>
      <c r="Q349" s="36">
        <f t="shared" si="28"/>
        <v>0.16666666666666666</v>
      </c>
      <c r="R349" s="34" t="str">
        <f t="shared" si="29"/>
        <v>2M-5M</v>
      </c>
    </row>
    <row r="350" spans="4:18">
      <c r="D350" s="25" t="s">
        <v>483</v>
      </c>
      <c r="E350" s="25" t="s">
        <v>484</v>
      </c>
      <c r="F350" s="25" t="s">
        <v>780</v>
      </c>
      <c r="G350" s="26">
        <v>45742</v>
      </c>
      <c r="H350" s="26">
        <v>46098</v>
      </c>
      <c r="I350" s="37">
        <v>6328937</v>
      </c>
      <c r="J350" s="25" t="s">
        <v>133</v>
      </c>
      <c r="K350" s="25" t="s">
        <v>109</v>
      </c>
      <c r="L350" s="25" t="s">
        <v>110</v>
      </c>
      <c r="M350" s="37">
        <v>50631496</v>
      </c>
      <c r="N350" s="34">
        <f t="shared" ca="1" si="25"/>
        <v>0</v>
      </c>
      <c r="O350" s="34" t="str">
        <f t="shared" ca="1" si="26"/>
        <v>Current</v>
      </c>
      <c r="P350" s="35">
        <f t="shared" si="27"/>
        <v>1.0151007523789475E-3</v>
      </c>
      <c r="Q350" s="36">
        <f t="shared" si="28"/>
        <v>0.125</v>
      </c>
      <c r="R350" s="34" t="str">
        <f t="shared" si="29"/>
        <v>&gt;5M</v>
      </c>
    </row>
    <row r="351" spans="4:18">
      <c r="D351" s="25" t="s">
        <v>312</v>
      </c>
      <c r="E351" s="25" t="s">
        <v>313</v>
      </c>
      <c r="F351" s="25" t="s">
        <v>781</v>
      </c>
      <c r="G351" s="26">
        <v>45920</v>
      </c>
      <c r="H351" s="26">
        <v>46025</v>
      </c>
      <c r="I351" s="37">
        <v>7816055</v>
      </c>
      <c r="J351" s="25" t="s">
        <v>52</v>
      </c>
      <c r="K351" s="25" t="s">
        <v>109</v>
      </c>
      <c r="L351" s="25" t="s">
        <v>95</v>
      </c>
      <c r="M351" s="37">
        <v>54712385</v>
      </c>
      <c r="N351" s="34">
        <f t="shared" ca="1" si="25"/>
        <v>58</v>
      </c>
      <c r="O351" s="34" t="str">
        <f t="shared" ca="1" si="26"/>
        <v>31-60</v>
      </c>
      <c r="P351" s="35">
        <f t="shared" si="27"/>
        <v>1.2536202068586296E-3</v>
      </c>
      <c r="Q351" s="36">
        <f t="shared" si="28"/>
        <v>0.14285714285714285</v>
      </c>
      <c r="R351" s="34" t="str">
        <f t="shared" si="29"/>
        <v>&gt;5M</v>
      </c>
    </row>
    <row r="352" spans="4:18">
      <c r="D352" s="25" t="s">
        <v>782</v>
      </c>
      <c r="E352" s="25" t="s">
        <v>783</v>
      </c>
      <c r="F352" s="25" t="s">
        <v>784</v>
      </c>
      <c r="G352" s="26">
        <v>45986</v>
      </c>
      <c r="H352" s="26">
        <v>45929</v>
      </c>
      <c r="I352" s="37">
        <v>5341041</v>
      </c>
      <c r="J352" s="25" t="s">
        <v>99</v>
      </c>
      <c r="K352" s="25" t="s">
        <v>56</v>
      </c>
      <c r="L352" s="25" t="s">
        <v>121</v>
      </c>
      <c r="M352" s="37">
        <v>37387287</v>
      </c>
      <c r="N352" s="34">
        <f t="shared" ca="1" si="25"/>
        <v>154</v>
      </c>
      <c r="O352" s="34" t="str">
        <f t="shared" ca="1" si="26"/>
        <v>90+</v>
      </c>
      <c r="P352" s="35">
        <f t="shared" si="27"/>
        <v>8.5665171538076715E-4</v>
      </c>
      <c r="Q352" s="36">
        <f t="shared" si="28"/>
        <v>0.14285714285714285</v>
      </c>
      <c r="R352" s="34" t="str">
        <f t="shared" si="29"/>
        <v>&gt;5M</v>
      </c>
    </row>
    <row r="353" spans="4:18">
      <c r="D353" s="25" t="s">
        <v>562</v>
      </c>
      <c r="E353" s="25" t="s">
        <v>563</v>
      </c>
      <c r="F353" s="25" t="s">
        <v>785</v>
      </c>
      <c r="G353" s="26">
        <v>45935</v>
      </c>
      <c r="H353" s="26">
        <v>45944</v>
      </c>
      <c r="I353" s="37">
        <v>7798870</v>
      </c>
      <c r="J353" s="25" t="s">
        <v>52</v>
      </c>
      <c r="K353" s="25" t="s">
        <v>89</v>
      </c>
      <c r="L353" s="25" t="s">
        <v>138</v>
      </c>
      <c r="M353" s="37">
        <v>38994350</v>
      </c>
      <c r="N353" s="34">
        <f t="shared" ca="1" si="25"/>
        <v>139</v>
      </c>
      <c r="O353" s="34" t="str">
        <f t="shared" ca="1" si="26"/>
        <v>90+</v>
      </c>
      <c r="P353" s="35">
        <f t="shared" si="27"/>
        <v>1.2508638977928842E-3</v>
      </c>
      <c r="Q353" s="36">
        <f t="shared" si="28"/>
        <v>0.2</v>
      </c>
      <c r="R353" s="34" t="str">
        <f t="shared" si="29"/>
        <v>&gt;5M</v>
      </c>
    </row>
    <row r="354" spans="4:18">
      <c r="D354" s="25" t="s">
        <v>390</v>
      </c>
      <c r="E354" s="25" t="s">
        <v>391</v>
      </c>
      <c r="F354" s="25" t="s">
        <v>786</v>
      </c>
      <c r="G354" s="26">
        <v>45723</v>
      </c>
      <c r="H354" s="26">
        <v>45932</v>
      </c>
      <c r="I354" s="37">
        <v>6614253</v>
      </c>
      <c r="J354" s="25" t="s">
        <v>99</v>
      </c>
      <c r="K354" s="25" t="s">
        <v>56</v>
      </c>
      <c r="L354" s="25" t="s">
        <v>95</v>
      </c>
      <c r="M354" s="37">
        <v>46299771</v>
      </c>
      <c r="N354" s="34">
        <f t="shared" ca="1" si="25"/>
        <v>151</v>
      </c>
      <c r="O354" s="34" t="str">
        <f t="shared" ca="1" si="26"/>
        <v>90+</v>
      </c>
      <c r="P354" s="35">
        <f t="shared" si="27"/>
        <v>1.0608627004384324E-3</v>
      </c>
      <c r="Q354" s="36">
        <f t="shared" si="28"/>
        <v>0.14285714285714285</v>
      </c>
      <c r="R354" s="34" t="str">
        <f t="shared" si="29"/>
        <v>&gt;5M</v>
      </c>
    </row>
    <row r="355" spans="4:18">
      <c r="D355" s="25" t="s">
        <v>171</v>
      </c>
      <c r="E355" s="25" t="s">
        <v>172</v>
      </c>
      <c r="F355" s="25" t="s">
        <v>787</v>
      </c>
      <c r="G355" s="26">
        <v>45999</v>
      </c>
      <c r="H355" s="26">
        <v>46006</v>
      </c>
      <c r="I355" s="37">
        <v>2031730</v>
      </c>
      <c r="J355" s="25" t="s">
        <v>99</v>
      </c>
      <c r="K355" s="25" t="s">
        <v>109</v>
      </c>
      <c r="L355" s="25" t="s">
        <v>110</v>
      </c>
      <c r="M355" s="37">
        <v>16253840</v>
      </c>
      <c r="N355" s="34">
        <f t="shared" ca="1" si="25"/>
        <v>77</v>
      </c>
      <c r="O355" s="34" t="str">
        <f t="shared" ca="1" si="26"/>
        <v>61-90</v>
      </c>
      <c r="P355" s="35">
        <f t="shared" si="27"/>
        <v>3.258699923274444E-4</v>
      </c>
      <c r="Q355" s="36">
        <f t="shared" si="28"/>
        <v>0.125</v>
      </c>
      <c r="R355" s="34" t="str">
        <f t="shared" si="29"/>
        <v>2M-5M</v>
      </c>
    </row>
    <row r="356" spans="4:18">
      <c r="D356" s="25" t="s">
        <v>609</v>
      </c>
      <c r="E356" s="25" t="s">
        <v>610</v>
      </c>
      <c r="F356" s="25" t="s">
        <v>788</v>
      </c>
      <c r="G356" s="26">
        <v>45775</v>
      </c>
      <c r="H356" s="26">
        <v>45943</v>
      </c>
      <c r="I356" s="37">
        <v>6182907</v>
      </c>
      <c r="J356" s="25" t="s">
        <v>52</v>
      </c>
      <c r="K356" s="25" t="s">
        <v>89</v>
      </c>
      <c r="L356" s="25" t="s">
        <v>138</v>
      </c>
      <c r="M356" s="37">
        <v>61829070</v>
      </c>
      <c r="N356" s="34">
        <f t="shared" ca="1" si="25"/>
        <v>140</v>
      </c>
      <c r="O356" s="34" t="str">
        <f t="shared" ca="1" si="26"/>
        <v>90+</v>
      </c>
      <c r="P356" s="35">
        <f t="shared" si="27"/>
        <v>9.9167894191221398E-4</v>
      </c>
      <c r="Q356" s="36">
        <f t="shared" si="28"/>
        <v>0.1</v>
      </c>
      <c r="R356" s="34" t="str">
        <f t="shared" si="29"/>
        <v>&gt;5M</v>
      </c>
    </row>
    <row r="357" spans="4:18">
      <c r="D357" s="25" t="s">
        <v>789</v>
      </c>
      <c r="E357" s="25" t="s">
        <v>790</v>
      </c>
      <c r="F357" s="25" t="s">
        <v>791</v>
      </c>
      <c r="G357" s="26">
        <v>45766</v>
      </c>
      <c r="H357" s="26">
        <v>46086</v>
      </c>
      <c r="I357" s="37">
        <v>408564</v>
      </c>
      <c r="J357" s="25" t="s">
        <v>52</v>
      </c>
      <c r="K357" s="25" t="s">
        <v>89</v>
      </c>
      <c r="L357" s="25" t="s">
        <v>90</v>
      </c>
      <c r="M357" s="37">
        <v>817128</v>
      </c>
      <c r="N357" s="34">
        <f t="shared" ca="1" si="25"/>
        <v>0</v>
      </c>
      <c r="O357" s="34" t="str">
        <f t="shared" ca="1" si="26"/>
        <v>Current</v>
      </c>
      <c r="P357" s="35">
        <f t="shared" si="27"/>
        <v>6.5529744378076813E-5</v>
      </c>
      <c r="Q357" s="36">
        <f t="shared" si="28"/>
        <v>0.5</v>
      </c>
      <c r="R357" s="34" t="str">
        <f t="shared" si="29"/>
        <v>&lt;500K</v>
      </c>
    </row>
    <row r="358" spans="4:18">
      <c r="D358" s="25" t="s">
        <v>324</v>
      </c>
      <c r="E358" s="25" t="s">
        <v>325</v>
      </c>
      <c r="F358" s="25" t="s">
        <v>792</v>
      </c>
      <c r="G358" s="26">
        <v>46022</v>
      </c>
      <c r="H358" s="26">
        <v>45952</v>
      </c>
      <c r="I358" s="37">
        <v>4682234</v>
      </c>
      <c r="J358" s="25" t="s">
        <v>52</v>
      </c>
      <c r="K358" s="25" t="s">
        <v>125</v>
      </c>
      <c r="L358" s="25" t="s">
        <v>114</v>
      </c>
      <c r="M358" s="37">
        <v>28093404</v>
      </c>
      <c r="N358" s="34">
        <f t="shared" ca="1" si="25"/>
        <v>131</v>
      </c>
      <c r="O358" s="34" t="str">
        <f t="shared" ca="1" si="26"/>
        <v>90+</v>
      </c>
      <c r="P358" s="35">
        <f t="shared" si="27"/>
        <v>7.5098539552760429E-4</v>
      </c>
      <c r="Q358" s="36">
        <f t="shared" si="28"/>
        <v>0.16666666666666666</v>
      </c>
      <c r="R358" s="34" t="str">
        <f t="shared" si="29"/>
        <v>2M-5M</v>
      </c>
    </row>
    <row r="359" spans="4:18">
      <c r="D359" s="25" t="s">
        <v>86</v>
      </c>
      <c r="E359" s="25" t="s">
        <v>87</v>
      </c>
      <c r="F359" s="25" t="s">
        <v>793</v>
      </c>
      <c r="G359" s="26">
        <v>45863</v>
      </c>
      <c r="H359" s="26">
        <v>45914</v>
      </c>
      <c r="I359" s="37">
        <v>2899490</v>
      </c>
      <c r="J359" s="25" t="s">
        <v>99</v>
      </c>
      <c r="K359" s="25" t="s">
        <v>125</v>
      </c>
      <c r="L359" s="25" t="s">
        <v>95</v>
      </c>
      <c r="M359" s="37">
        <v>11597960</v>
      </c>
      <c r="N359" s="34">
        <f t="shared" ca="1" si="25"/>
        <v>169</v>
      </c>
      <c r="O359" s="34" t="str">
        <f t="shared" ca="1" si="26"/>
        <v>90+</v>
      </c>
      <c r="P359" s="35">
        <f t="shared" si="27"/>
        <v>4.6505036793939244E-4</v>
      </c>
      <c r="Q359" s="36">
        <f t="shared" si="28"/>
        <v>0.25</v>
      </c>
      <c r="R359" s="34" t="str">
        <f t="shared" si="29"/>
        <v>2M-5M</v>
      </c>
    </row>
    <row r="360" spans="4:18">
      <c r="D360" s="25" t="s">
        <v>668</v>
      </c>
      <c r="E360" s="25" t="s">
        <v>669</v>
      </c>
      <c r="F360" s="25" t="s">
        <v>794</v>
      </c>
      <c r="G360" s="26">
        <v>45911</v>
      </c>
      <c r="H360" s="26">
        <v>46064</v>
      </c>
      <c r="I360" s="37">
        <v>4694204</v>
      </c>
      <c r="J360" s="25" t="s">
        <v>99</v>
      </c>
      <c r="K360" s="25" t="s">
        <v>109</v>
      </c>
      <c r="L360" s="25" t="s">
        <v>138</v>
      </c>
      <c r="M360" s="37">
        <v>32859428</v>
      </c>
      <c r="N360" s="34">
        <f t="shared" ca="1" si="25"/>
        <v>19</v>
      </c>
      <c r="O360" s="34" t="str">
        <f t="shared" ca="1" si="26"/>
        <v>1-30</v>
      </c>
      <c r="P360" s="35">
        <f t="shared" si="27"/>
        <v>7.5290526864468159E-4</v>
      </c>
      <c r="Q360" s="36">
        <f t="shared" si="28"/>
        <v>0.14285714285714285</v>
      </c>
      <c r="R360" s="34" t="str">
        <f t="shared" si="29"/>
        <v>2M-5M</v>
      </c>
    </row>
    <row r="361" spans="4:18">
      <c r="D361" s="25" t="s">
        <v>146</v>
      </c>
      <c r="E361" s="25" t="s">
        <v>147</v>
      </c>
      <c r="F361" s="25" t="s">
        <v>795</v>
      </c>
      <c r="G361" s="26">
        <v>45976</v>
      </c>
      <c r="H361" s="26">
        <v>46050</v>
      </c>
      <c r="I361" s="37">
        <v>3739243</v>
      </c>
      <c r="J361" s="25" t="s">
        <v>52</v>
      </c>
      <c r="K361" s="25" t="s">
        <v>94</v>
      </c>
      <c r="L361" s="25" t="s">
        <v>121</v>
      </c>
      <c r="M361" s="37">
        <v>14956972</v>
      </c>
      <c r="N361" s="34">
        <f t="shared" ca="1" si="25"/>
        <v>33</v>
      </c>
      <c r="O361" s="34" t="str">
        <f t="shared" ca="1" si="26"/>
        <v>31-60</v>
      </c>
      <c r="P361" s="35">
        <f t="shared" si="27"/>
        <v>5.9973868955050637E-4</v>
      </c>
      <c r="Q361" s="36">
        <f t="shared" si="28"/>
        <v>0.25</v>
      </c>
      <c r="R361" s="34" t="str">
        <f t="shared" si="29"/>
        <v>2M-5M</v>
      </c>
    </row>
    <row r="362" spans="4:18">
      <c r="D362" s="25" t="s">
        <v>796</v>
      </c>
      <c r="E362" s="25" t="s">
        <v>797</v>
      </c>
      <c r="F362" s="25" t="s">
        <v>798</v>
      </c>
      <c r="G362" s="26">
        <v>45997</v>
      </c>
      <c r="H362" s="26">
        <v>45999</v>
      </c>
      <c r="I362" s="37">
        <v>7624011</v>
      </c>
      <c r="J362" s="25" t="s">
        <v>99</v>
      </c>
      <c r="K362" s="25" t="s">
        <v>134</v>
      </c>
      <c r="L362" s="25" t="s">
        <v>95</v>
      </c>
      <c r="M362" s="37">
        <v>38120055</v>
      </c>
      <c r="N362" s="34">
        <f t="shared" ca="1" si="25"/>
        <v>84</v>
      </c>
      <c r="O362" s="34" t="str">
        <f t="shared" ca="1" si="26"/>
        <v>61-90</v>
      </c>
      <c r="P362" s="35">
        <f t="shared" si="27"/>
        <v>1.2228181924145195E-3</v>
      </c>
      <c r="Q362" s="36">
        <f t="shared" si="28"/>
        <v>0.2</v>
      </c>
      <c r="R362" s="34" t="str">
        <f t="shared" si="29"/>
        <v>&gt;5M</v>
      </c>
    </row>
    <row r="363" spans="4:18">
      <c r="D363" s="25" t="s">
        <v>223</v>
      </c>
      <c r="E363" s="25" t="s">
        <v>224</v>
      </c>
      <c r="F363" s="25" t="s">
        <v>799</v>
      </c>
      <c r="G363" s="26">
        <v>45837</v>
      </c>
      <c r="H363" s="26">
        <v>45913</v>
      </c>
      <c r="I363" s="37">
        <v>5265498</v>
      </c>
      <c r="J363" s="25" t="s">
        <v>99</v>
      </c>
      <c r="K363" s="25" t="s">
        <v>89</v>
      </c>
      <c r="L363" s="25" t="s">
        <v>110</v>
      </c>
      <c r="M363" s="37">
        <v>10530996</v>
      </c>
      <c r="N363" s="34">
        <f t="shared" ca="1" si="25"/>
        <v>170</v>
      </c>
      <c r="O363" s="34" t="str">
        <f t="shared" ca="1" si="26"/>
        <v>90+</v>
      </c>
      <c r="P363" s="35">
        <f t="shared" si="27"/>
        <v>8.4453534321005932E-4</v>
      </c>
      <c r="Q363" s="36">
        <f t="shared" si="28"/>
        <v>0.5</v>
      </c>
      <c r="R363" s="34" t="str">
        <f t="shared" si="29"/>
        <v>&gt;5M</v>
      </c>
    </row>
    <row r="364" spans="4:18">
      <c r="D364" s="25" t="s">
        <v>296</v>
      </c>
      <c r="E364" s="25" t="s">
        <v>297</v>
      </c>
      <c r="F364" s="25" t="s">
        <v>800</v>
      </c>
      <c r="G364" s="26">
        <v>45944</v>
      </c>
      <c r="H364" s="26">
        <v>45908</v>
      </c>
      <c r="I364" s="37">
        <v>7832374</v>
      </c>
      <c r="J364" s="25" t="s">
        <v>99</v>
      </c>
      <c r="K364" s="25" t="s">
        <v>134</v>
      </c>
      <c r="L364" s="25" t="s">
        <v>90</v>
      </c>
      <c r="M364" s="37">
        <v>15664748</v>
      </c>
      <c r="N364" s="34">
        <f t="shared" ca="1" si="25"/>
        <v>175</v>
      </c>
      <c r="O364" s="34" t="str">
        <f t="shared" ca="1" si="26"/>
        <v>90+</v>
      </c>
      <c r="P364" s="35">
        <f t="shared" si="27"/>
        <v>1.2562376178358715E-3</v>
      </c>
      <c r="Q364" s="36">
        <f t="shared" si="28"/>
        <v>0.5</v>
      </c>
      <c r="R364" s="34" t="str">
        <f t="shared" si="29"/>
        <v>&gt;5M</v>
      </c>
    </row>
    <row r="365" spans="4:18">
      <c r="D365" s="25" t="s">
        <v>801</v>
      </c>
      <c r="E365" s="25" t="s">
        <v>802</v>
      </c>
      <c r="F365" s="25" t="s">
        <v>803</v>
      </c>
      <c r="G365" s="26">
        <v>45993</v>
      </c>
      <c r="H365" s="26">
        <v>45992</v>
      </c>
      <c r="I365" s="37">
        <v>6709457</v>
      </c>
      <c r="J365" s="25" t="s">
        <v>52</v>
      </c>
      <c r="K365" s="25" t="s">
        <v>134</v>
      </c>
      <c r="L365" s="25" t="s">
        <v>95</v>
      </c>
      <c r="M365" s="37">
        <v>67094570</v>
      </c>
      <c r="N365" s="34">
        <f t="shared" ca="1" si="25"/>
        <v>91</v>
      </c>
      <c r="O365" s="34" t="str">
        <f t="shared" ca="1" si="26"/>
        <v>90+</v>
      </c>
      <c r="P365" s="35">
        <f t="shared" si="27"/>
        <v>1.0761325083113004E-3</v>
      </c>
      <c r="Q365" s="36">
        <f t="shared" si="28"/>
        <v>0.1</v>
      </c>
      <c r="R365" s="34" t="str">
        <f t="shared" si="29"/>
        <v>&gt;5M</v>
      </c>
    </row>
    <row r="366" spans="4:18">
      <c r="D366" s="25" t="s">
        <v>480</v>
      </c>
      <c r="E366" s="25" t="s">
        <v>481</v>
      </c>
      <c r="F366" s="25" t="s">
        <v>739</v>
      </c>
      <c r="G366" s="26">
        <v>45720</v>
      </c>
      <c r="H366" s="26">
        <v>45974</v>
      </c>
      <c r="I366" s="37">
        <v>7847683</v>
      </c>
      <c r="J366" s="25" t="s">
        <v>52</v>
      </c>
      <c r="K366" s="25" t="s">
        <v>109</v>
      </c>
      <c r="L366" s="25" t="s">
        <v>114</v>
      </c>
      <c r="M366" s="37">
        <v>39238415</v>
      </c>
      <c r="N366" s="34">
        <f t="shared" ca="1" si="25"/>
        <v>109</v>
      </c>
      <c r="O366" s="34" t="str">
        <f t="shared" ca="1" si="26"/>
        <v>90+</v>
      </c>
      <c r="P366" s="35">
        <f t="shared" si="27"/>
        <v>1.2586930345066599E-3</v>
      </c>
      <c r="Q366" s="36">
        <f t="shared" si="28"/>
        <v>0.2</v>
      </c>
      <c r="R366" s="34" t="str">
        <f t="shared" si="29"/>
        <v>&gt;5M</v>
      </c>
    </row>
    <row r="367" spans="4:18">
      <c r="D367" s="25" t="s">
        <v>343</v>
      </c>
      <c r="E367" s="25" t="s">
        <v>344</v>
      </c>
      <c r="F367" s="25" t="s">
        <v>804</v>
      </c>
      <c r="G367" s="26">
        <v>45717</v>
      </c>
      <c r="H367" s="26">
        <v>46067</v>
      </c>
      <c r="I367" s="37">
        <v>3836807</v>
      </c>
      <c r="J367" s="25" t="s">
        <v>52</v>
      </c>
      <c r="K367" s="25" t="s">
        <v>125</v>
      </c>
      <c r="L367" s="25" t="s">
        <v>114</v>
      </c>
      <c r="M367" s="37">
        <v>38368070</v>
      </c>
      <c r="N367" s="34">
        <f t="shared" ca="1" si="25"/>
        <v>16</v>
      </c>
      <c r="O367" s="34" t="str">
        <f t="shared" ca="1" si="26"/>
        <v>1-30</v>
      </c>
      <c r="P367" s="35">
        <f t="shared" si="27"/>
        <v>6.1538701877310721E-4</v>
      </c>
      <c r="Q367" s="36">
        <f t="shared" si="28"/>
        <v>0.1</v>
      </c>
      <c r="R367" s="34" t="str">
        <f t="shared" si="29"/>
        <v>2M-5M</v>
      </c>
    </row>
    <row r="368" spans="4:18">
      <c r="D368" s="25" t="s">
        <v>609</v>
      </c>
      <c r="E368" s="25" t="s">
        <v>610</v>
      </c>
      <c r="F368" s="25" t="s">
        <v>805</v>
      </c>
      <c r="G368" s="26">
        <v>45873</v>
      </c>
      <c r="H368" s="26">
        <v>46002</v>
      </c>
      <c r="I368" s="37">
        <v>6438669</v>
      </c>
      <c r="J368" s="25" t="s">
        <v>52</v>
      </c>
      <c r="K368" s="25" t="s">
        <v>89</v>
      </c>
      <c r="L368" s="25" t="s">
        <v>110</v>
      </c>
      <c r="M368" s="37">
        <v>38632014</v>
      </c>
      <c r="N368" s="34">
        <f t="shared" ca="1" si="25"/>
        <v>81</v>
      </c>
      <c r="O368" s="34" t="str">
        <f t="shared" ca="1" si="26"/>
        <v>61-90</v>
      </c>
      <c r="P368" s="35">
        <f t="shared" si="27"/>
        <v>1.0327007120183066E-3</v>
      </c>
      <c r="Q368" s="36">
        <f t="shared" si="28"/>
        <v>0.16666666666666666</v>
      </c>
      <c r="R368" s="34" t="str">
        <f t="shared" si="29"/>
        <v>&gt;5M</v>
      </c>
    </row>
    <row r="369" spans="4:18">
      <c r="D369" s="25" t="s">
        <v>733</v>
      </c>
      <c r="E369" s="25" t="s">
        <v>734</v>
      </c>
      <c r="F369" s="25" t="s">
        <v>806</v>
      </c>
      <c r="G369" s="26">
        <v>45730</v>
      </c>
      <c r="H369" s="26">
        <v>46053</v>
      </c>
      <c r="I369" s="37">
        <v>5496699</v>
      </c>
      <c r="J369" s="25" t="s">
        <v>52</v>
      </c>
      <c r="K369" s="25" t="s">
        <v>56</v>
      </c>
      <c r="L369" s="25" t="s">
        <v>121</v>
      </c>
      <c r="M369" s="37">
        <v>21986796</v>
      </c>
      <c r="N369" s="34">
        <f t="shared" ca="1" si="25"/>
        <v>30</v>
      </c>
      <c r="O369" s="34" t="str">
        <f t="shared" ca="1" si="26"/>
        <v>1-30</v>
      </c>
      <c r="P369" s="35">
        <f t="shared" si="27"/>
        <v>8.8161776464208892E-4</v>
      </c>
      <c r="Q369" s="36">
        <f t="shared" si="28"/>
        <v>0.25</v>
      </c>
      <c r="R369" s="34" t="str">
        <f t="shared" si="29"/>
        <v>&gt;5M</v>
      </c>
    </row>
    <row r="370" spans="4:18">
      <c r="D370" s="25" t="s">
        <v>454</v>
      </c>
      <c r="E370" s="25" t="s">
        <v>455</v>
      </c>
      <c r="F370" s="25" t="s">
        <v>807</v>
      </c>
      <c r="G370" s="26">
        <v>46035</v>
      </c>
      <c r="H370" s="26">
        <v>46040</v>
      </c>
      <c r="I370" s="37">
        <v>764029</v>
      </c>
      <c r="J370" s="25" t="s">
        <v>52</v>
      </c>
      <c r="K370" s="25" t="s">
        <v>125</v>
      </c>
      <c r="L370" s="25" t="s">
        <v>90</v>
      </c>
      <c r="M370" s="37">
        <v>3056116</v>
      </c>
      <c r="N370" s="34">
        <f t="shared" ca="1" si="25"/>
        <v>43</v>
      </c>
      <c r="O370" s="34" t="str">
        <f t="shared" ca="1" si="26"/>
        <v>31-60</v>
      </c>
      <c r="P370" s="35">
        <f t="shared" si="27"/>
        <v>1.2254291877756643E-4</v>
      </c>
      <c r="Q370" s="36">
        <f t="shared" si="28"/>
        <v>0.25</v>
      </c>
      <c r="R370" s="34" t="str">
        <f t="shared" si="29"/>
        <v>500K-2M</v>
      </c>
    </row>
    <row r="371" spans="4:18">
      <c r="D371" s="25" t="s">
        <v>343</v>
      </c>
      <c r="E371" s="25" t="s">
        <v>344</v>
      </c>
      <c r="F371" s="25" t="s">
        <v>808</v>
      </c>
      <c r="G371" s="26">
        <v>45954</v>
      </c>
      <c r="H371" s="26">
        <v>46110</v>
      </c>
      <c r="I371" s="37">
        <v>3456091</v>
      </c>
      <c r="J371" s="25" t="s">
        <v>99</v>
      </c>
      <c r="K371" s="25" t="s">
        <v>94</v>
      </c>
      <c r="L371" s="25" t="s">
        <v>95</v>
      </c>
      <c r="M371" s="37">
        <v>27648728</v>
      </c>
      <c r="N371" s="34">
        <f t="shared" ca="1" si="25"/>
        <v>0</v>
      </c>
      <c r="O371" s="34" t="str">
        <f t="shared" ca="1" si="26"/>
        <v>Current</v>
      </c>
      <c r="P371" s="35">
        <f t="shared" si="27"/>
        <v>5.5432382632187823E-4</v>
      </c>
      <c r="Q371" s="36">
        <f t="shared" si="28"/>
        <v>0.125</v>
      </c>
      <c r="R371" s="34" t="str">
        <f t="shared" si="29"/>
        <v>2M-5M</v>
      </c>
    </row>
    <row r="372" spans="4:18">
      <c r="D372" s="25" t="s">
        <v>377</v>
      </c>
      <c r="E372" s="25" t="s">
        <v>378</v>
      </c>
      <c r="F372" s="25" t="s">
        <v>809</v>
      </c>
      <c r="G372" s="26">
        <v>45861</v>
      </c>
      <c r="H372" s="26">
        <v>46059</v>
      </c>
      <c r="I372" s="37">
        <v>499860</v>
      </c>
      <c r="J372" s="25" t="s">
        <v>52</v>
      </c>
      <c r="K372" s="25" t="s">
        <v>134</v>
      </c>
      <c r="L372" s="25" t="s">
        <v>110</v>
      </c>
      <c r="M372" s="37">
        <v>1999440</v>
      </c>
      <c r="N372" s="34">
        <f t="shared" ca="1" si="25"/>
        <v>24</v>
      </c>
      <c r="O372" s="34" t="str">
        <f t="shared" ca="1" si="26"/>
        <v>1-30</v>
      </c>
      <c r="P372" s="35">
        <f t="shared" si="27"/>
        <v>8.0172746558251529E-5</v>
      </c>
      <c r="Q372" s="36">
        <f t="shared" si="28"/>
        <v>0.25</v>
      </c>
      <c r="R372" s="34" t="str">
        <f t="shared" si="29"/>
        <v>&lt;500K</v>
      </c>
    </row>
    <row r="373" spans="4:18">
      <c r="D373" s="25" t="s">
        <v>657</v>
      </c>
      <c r="E373" s="25" t="s">
        <v>658</v>
      </c>
      <c r="F373" s="25" t="s">
        <v>810</v>
      </c>
      <c r="G373" s="26">
        <v>45719</v>
      </c>
      <c r="H373" s="26">
        <v>45951</v>
      </c>
      <c r="I373" s="37">
        <v>6683880</v>
      </c>
      <c r="J373" s="25" t="s">
        <v>133</v>
      </c>
      <c r="K373" s="25" t="s">
        <v>56</v>
      </c>
      <c r="L373" s="25" t="s">
        <v>121</v>
      </c>
      <c r="M373" s="37">
        <v>66838800</v>
      </c>
      <c r="N373" s="34">
        <f t="shared" ca="1" si="25"/>
        <v>132</v>
      </c>
      <c r="O373" s="34" t="str">
        <f t="shared" ca="1" si="26"/>
        <v>90+</v>
      </c>
      <c r="P373" s="35">
        <f t="shared" si="27"/>
        <v>1.072030202988369E-3</v>
      </c>
      <c r="Q373" s="36">
        <f t="shared" si="28"/>
        <v>0.1</v>
      </c>
      <c r="R373" s="34" t="str">
        <f t="shared" si="29"/>
        <v>&gt;5M</v>
      </c>
    </row>
    <row r="374" spans="4:18">
      <c r="D374" s="25" t="s">
        <v>589</v>
      </c>
      <c r="E374" s="25" t="s">
        <v>590</v>
      </c>
      <c r="F374" s="25" t="s">
        <v>811</v>
      </c>
      <c r="G374" s="26">
        <v>45757</v>
      </c>
      <c r="H374" s="26">
        <v>46118</v>
      </c>
      <c r="I374" s="37">
        <v>4439362</v>
      </c>
      <c r="J374" s="25" t="s">
        <v>52</v>
      </c>
      <c r="K374" s="25" t="s">
        <v>94</v>
      </c>
      <c r="L374" s="25" t="s">
        <v>114</v>
      </c>
      <c r="M374" s="37">
        <v>17757448</v>
      </c>
      <c r="N374" s="34">
        <f t="shared" ca="1" si="25"/>
        <v>0</v>
      </c>
      <c r="O374" s="34" t="str">
        <f t="shared" ca="1" si="26"/>
        <v>Current</v>
      </c>
      <c r="P374" s="35">
        <f t="shared" si="27"/>
        <v>7.1203105770882363E-4</v>
      </c>
      <c r="Q374" s="36">
        <f t="shared" si="28"/>
        <v>0.25</v>
      </c>
      <c r="R374" s="34" t="str">
        <f t="shared" si="29"/>
        <v>2M-5M</v>
      </c>
    </row>
    <row r="375" spans="4:18">
      <c r="D375" s="25" t="s">
        <v>550</v>
      </c>
      <c r="E375" s="25" t="s">
        <v>551</v>
      </c>
      <c r="F375" s="25" t="s">
        <v>812</v>
      </c>
      <c r="G375" s="26">
        <v>45923</v>
      </c>
      <c r="H375" s="26">
        <v>45961</v>
      </c>
      <c r="I375" s="37">
        <v>2075343</v>
      </c>
      <c r="J375" s="25" t="s">
        <v>133</v>
      </c>
      <c r="K375" s="25" t="s">
        <v>56</v>
      </c>
      <c r="L375" s="25" t="s">
        <v>138</v>
      </c>
      <c r="M375" s="37">
        <v>14527401</v>
      </c>
      <c r="N375" s="34">
        <f t="shared" ca="1" si="25"/>
        <v>122</v>
      </c>
      <c r="O375" s="34" t="str">
        <f t="shared" ca="1" si="26"/>
        <v>90+</v>
      </c>
      <c r="P375" s="35">
        <f t="shared" si="27"/>
        <v>3.3286509894858837E-4</v>
      </c>
      <c r="Q375" s="36">
        <f t="shared" si="28"/>
        <v>0.14285714285714285</v>
      </c>
      <c r="R375" s="34" t="str">
        <f t="shared" si="29"/>
        <v>2M-5M</v>
      </c>
    </row>
    <row r="376" spans="4:18">
      <c r="D376" s="25" t="s">
        <v>143</v>
      </c>
      <c r="E376" s="25" t="s">
        <v>144</v>
      </c>
      <c r="F376" s="25" t="s">
        <v>813</v>
      </c>
      <c r="G376" s="26">
        <v>46007</v>
      </c>
      <c r="H376" s="26">
        <v>45903</v>
      </c>
      <c r="I376" s="37">
        <v>4474407</v>
      </c>
      <c r="J376" s="25" t="s">
        <v>52</v>
      </c>
      <c r="K376" s="25" t="s">
        <v>109</v>
      </c>
      <c r="L376" s="25" t="s">
        <v>95</v>
      </c>
      <c r="M376" s="37">
        <v>22372035</v>
      </c>
      <c r="N376" s="34">
        <f t="shared" ca="1" si="25"/>
        <v>180</v>
      </c>
      <c r="O376" s="34" t="str">
        <f t="shared" ca="1" si="26"/>
        <v>90+</v>
      </c>
      <c r="P376" s="35">
        <f t="shared" si="27"/>
        <v>7.1765193936195436E-4</v>
      </c>
      <c r="Q376" s="36">
        <f t="shared" si="28"/>
        <v>0.2</v>
      </c>
      <c r="R376" s="34" t="str">
        <f t="shared" si="29"/>
        <v>2M-5M</v>
      </c>
    </row>
    <row r="377" spans="4:18">
      <c r="D377" s="25" t="s">
        <v>801</v>
      </c>
      <c r="E377" s="25" t="s">
        <v>802</v>
      </c>
      <c r="F377" s="25" t="s">
        <v>814</v>
      </c>
      <c r="G377" s="26">
        <v>45999</v>
      </c>
      <c r="H377" s="26">
        <v>45947</v>
      </c>
      <c r="I377" s="37">
        <v>3320635</v>
      </c>
      <c r="J377" s="25" t="s">
        <v>52</v>
      </c>
      <c r="K377" s="25" t="s">
        <v>94</v>
      </c>
      <c r="L377" s="25" t="s">
        <v>90</v>
      </c>
      <c r="M377" s="37">
        <v>13282540</v>
      </c>
      <c r="N377" s="34">
        <f t="shared" ca="1" si="25"/>
        <v>136</v>
      </c>
      <c r="O377" s="34" t="str">
        <f t="shared" ca="1" si="26"/>
        <v>90+</v>
      </c>
      <c r="P377" s="35">
        <f t="shared" si="27"/>
        <v>5.3259798397043085E-4</v>
      </c>
      <c r="Q377" s="36">
        <f t="shared" si="28"/>
        <v>0.25</v>
      </c>
      <c r="R377" s="34" t="str">
        <f t="shared" si="29"/>
        <v>2M-5M</v>
      </c>
    </row>
    <row r="378" spans="4:18">
      <c r="D378" s="25" t="s">
        <v>255</v>
      </c>
      <c r="E378" s="25" t="s">
        <v>256</v>
      </c>
      <c r="F378" s="25" t="s">
        <v>815</v>
      </c>
      <c r="G378" s="26">
        <v>46003</v>
      </c>
      <c r="H378" s="26">
        <v>46022</v>
      </c>
      <c r="I378" s="37">
        <v>7795554</v>
      </c>
      <c r="J378" s="25" t="s">
        <v>99</v>
      </c>
      <c r="K378" s="25" t="s">
        <v>56</v>
      </c>
      <c r="L378" s="25" t="s">
        <v>95</v>
      </c>
      <c r="M378" s="37">
        <v>77955540</v>
      </c>
      <c r="N378" s="34">
        <f t="shared" ca="1" si="25"/>
        <v>61</v>
      </c>
      <c r="O378" s="34" t="str">
        <f t="shared" ca="1" si="26"/>
        <v>61-90</v>
      </c>
      <c r="P378" s="35">
        <f t="shared" si="27"/>
        <v>1.2503320432184289E-3</v>
      </c>
      <c r="Q378" s="36">
        <f t="shared" si="28"/>
        <v>0.1</v>
      </c>
      <c r="R378" s="34" t="str">
        <f t="shared" si="29"/>
        <v>&gt;5M</v>
      </c>
    </row>
    <row r="379" spans="4:18">
      <c r="D379" s="25" t="s">
        <v>439</v>
      </c>
      <c r="E379" s="25" t="s">
        <v>440</v>
      </c>
      <c r="F379" s="25" t="s">
        <v>816</v>
      </c>
      <c r="G379" s="26">
        <v>45902</v>
      </c>
      <c r="H379" s="26">
        <v>45981</v>
      </c>
      <c r="I379" s="37">
        <v>499175</v>
      </c>
      <c r="J379" s="25" t="s">
        <v>52</v>
      </c>
      <c r="K379" s="25" t="s">
        <v>125</v>
      </c>
      <c r="L379" s="25" t="s">
        <v>121</v>
      </c>
      <c r="M379" s="37">
        <v>1996700</v>
      </c>
      <c r="N379" s="34">
        <f t="shared" ca="1" si="25"/>
        <v>102</v>
      </c>
      <c r="O379" s="34" t="str">
        <f t="shared" ca="1" si="26"/>
        <v>90+</v>
      </c>
      <c r="P379" s="35">
        <f t="shared" si="27"/>
        <v>8.0062879132587536E-5</v>
      </c>
      <c r="Q379" s="36">
        <f t="shared" si="28"/>
        <v>0.25</v>
      </c>
      <c r="R379" s="34" t="str">
        <f t="shared" si="29"/>
        <v>&lt;500K</v>
      </c>
    </row>
    <row r="380" spans="4:18">
      <c r="D380" s="25" t="s">
        <v>657</v>
      </c>
      <c r="E380" s="25" t="s">
        <v>658</v>
      </c>
      <c r="F380" s="25" t="s">
        <v>817</v>
      </c>
      <c r="G380" s="26">
        <v>45788</v>
      </c>
      <c r="H380" s="26">
        <v>45935</v>
      </c>
      <c r="I380" s="37">
        <v>5442181</v>
      </c>
      <c r="J380" s="25" t="s">
        <v>52</v>
      </c>
      <c r="K380" s="25" t="s">
        <v>89</v>
      </c>
      <c r="L380" s="25" t="s">
        <v>90</v>
      </c>
      <c r="M380" s="37">
        <v>32653086</v>
      </c>
      <c r="N380" s="34">
        <f t="shared" ca="1" si="25"/>
        <v>148</v>
      </c>
      <c r="O380" s="34" t="str">
        <f t="shared" ca="1" si="26"/>
        <v>90+</v>
      </c>
      <c r="P380" s="35">
        <f t="shared" si="27"/>
        <v>8.7287360068245476E-4</v>
      </c>
      <c r="Q380" s="36">
        <f t="shared" si="28"/>
        <v>0.16666666666666666</v>
      </c>
      <c r="R380" s="34" t="str">
        <f t="shared" si="29"/>
        <v>&gt;5M</v>
      </c>
    </row>
    <row r="381" spans="4:18">
      <c r="D381" s="25" t="s">
        <v>290</v>
      </c>
      <c r="E381" s="25" t="s">
        <v>291</v>
      </c>
      <c r="F381" s="25" t="s">
        <v>818</v>
      </c>
      <c r="G381" s="26">
        <v>45728</v>
      </c>
      <c r="H381" s="26">
        <v>45961</v>
      </c>
      <c r="I381" s="37">
        <v>5680266</v>
      </c>
      <c r="J381" s="25" t="s">
        <v>133</v>
      </c>
      <c r="K381" s="25" t="s">
        <v>125</v>
      </c>
      <c r="L381" s="25" t="s">
        <v>90</v>
      </c>
      <c r="M381" s="37">
        <v>39761862</v>
      </c>
      <c r="N381" s="34">
        <f t="shared" ca="1" si="25"/>
        <v>122</v>
      </c>
      <c r="O381" s="34" t="str">
        <f t="shared" ca="1" si="26"/>
        <v>90+</v>
      </c>
      <c r="P381" s="35">
        <f t="shared" si="27"/>
        <v>9.1106014964480685E-4</v>
      </c>
      <c r="Q381" s="36">
        <f t="shared" si="28"/>
        <v>0.14285714285714285</v>
      </c>
      <c r="R381" s="34" t="str">
        <f t="shared" si="29"/>
        <v>&gt;5M</v>
      </c>
    </row>
    <row r="382" spans="4:18">
      <c r="D382" s="25" t="s">
        <v>198</v>
      </c>
      <c r="E382" s="25" t="s">
        <v>199</v>
      </c>
      <c r="F382" s="25" t="s">
        <v>819</v>
      </c>
      <c r="G382" s="26">
        <v>45787</v>
      </c>
      <c r="H382" s="26">
        <v>45970</v>
      </c>
      <c r="I382" s="37">
        <v>1819662</v>
      </c>
      <c r="J382" s="25" t="s">
        <v>133</v>
      </c>
      <c r="K382" s="25" t="s">
        <v>94</v>
      </c>
      <c r="L382" s="25" t="s">
        <v>110</v>
      </c>
      <c r="M382" s="37">
        <v>3639324</v>
      </c>
      <c r="N382" s="34">
        <f t="shared" ca="1" si="25"/>
        <v>113</v>
      </c>
      <c r="O382" s="34" t="str">
        <f t="shared" ca="1" si="26"/>
        <v>90+</v>
      </c>
      <c r="P382" s="35">
        <f t="shared" si="27"/>
        <v>2.918563204650924E-4</v>
      </c>
      <c r="Q382" s="36">
        <f t="shared" si="28"/>
        <v>0.5</v>
      </c>
      <c r="R382" s="34" t="str">
        <f t="shared" si="29"/>
        <v>500K-2M</v>
      </c>
    </row>
    <row r="383" spans="4:18">
      <c r="D383" s="25" t="s">
        <v>270</v>
      </c>
      <c r="E383" s="25" t="s">
        <v>271</v>
      </c>
      <c r="F383" s="25" t="s">
        <v>820</v>
      </c>
      <c r="G383" s="26">
        <v>45873</v>
      </c>
      <c r="H383" s="26">
        <v>45991</v>
      </c>
      <c r="I383" s="37">
        <v>3679369</v>
      </c>
      <c r="J383" s="25" t="s">
        <v>52</v>
      </c>
      <c r="K383" s="25" t="s">
        <v>134</v>
      </c>
      <c r="L383" s="25" t="s">
        <v>121</v>
      </c>
      <c r="M383" s="37">
        <v>29434952</v>
      </c>
      <c r="N383" s="34">
        <f t="shared" ca="1" si="25"/>
        <v>92</v>
      </c>
      <c r="O383" s="34" t="str">
        <f t="shared" ca="1" si="26"/>
        <v>90+</v>
      </c>
      <c r="P383" s="35">
        <f t="shared" si="27"/>
        <v>5.9013547459546144E-4</v>
      </c>
      <c r="Q383" s="36">
        <f t="shared" si="28"/>
        <v>0.125</v>
      </c>
      <c r="R383" s="34" t="str">
        <f t="shared" si="29"/>
        <v>2M-5M</v>
      </c>
    </row>
    <row r="384" spans="4:18">
      <c r="D384" s="25" t="s">
        <v>336</v>
      </c>
      <c r="E384" s="25" t="s">
        <v>337</v>
      </c>
      <c r="F384" s="25" t="s">
        <v>821</v>
      </c>
      <c r="G384" s="26">
        <v>45782</v>
      </c>
      <c r="H384" s="26">
        <v>46113</v>
      </c>
      <c r="I384" s="37">
        <v>5386089</v>
      </c>
      <c r="J384" s="25" t="s">
        <v>133</v>
      </c>
      <c r="K384" s="25" t="s">
        <v>134</v>
      </c>
      <c r="L384" s="25" t="s">
        <v>95</v>
      </c>
      <c r="M384" s="37">
        <v>43088712</v>
      </c>
      <c r="N384" s="34">
        <f t="shared" ca="1" si="25"/>
        <v>0</v>
      </c>
      <c r="O384" s="34" t="str">
        <f t="shared" ca="1" si="26"/>
        <v>Current</v>
      </c>
      <c r="P384" s="35">
        <f t="shared" si="27"/>
        <v>8.6387698222939696E-4</v>
      </c>
      <c r="Q384" s="36">
        <f t="shared" si="28"/>
        <v>0.125</v>
      </c>
      <c r="R384" s="34" t="str">
        <f t="shared" si="29"/>
        <v>&gt;5M</v>
      </c>
    </row>
    <row r="385" spans="4:18">
      <c r="D385" s="25" t="s">
        <v>822</v>
      </c>
      <c r="E385" s="25" t="s">
        <v>823</v>
      </c>
      <c r="F385" s="25" t="s">
        <v>824</v>
      </c>
      <c r="G385" s="26">
        <v>45881</v>
      </c>
      <c r="H385" s="26">
        <v>45912</v>
      </c>
      <c r="I385" s="37">
        <v>6545943</v>
      </c>
      <c r="J385" s="25" t="s">
        <v>52</v>
      </c>
      <c r="K385" s="25" t="s">
        <v>89</v>
      </c>
      <c r="L385" s="25" t="s">
        <v>110</v>
      </c>
      <c r="M385" s="37">
        <v>52367544</v>
      </c>
      <c r="N385" s="34">
        <f t="shared" ca="1" si="25"/>
        <v>171</v>
      </c>
      <c r="O385" s="34" t="str">
        <f t="shared" ca="1" si="26"/>
        <v>90+</v>
      </c>
      <c r="P385" s="35">
        <f t="shared" si="27"/>
        <v>1.0499064320484948E-3</v>
      </c>
      <c r="Q385" s="36">
        <f t="shared" si="28"/>
        <v>0.125</v>
      </c>
      <c r="R385" s="34" t="str">
        <f t="shared" si="29"/>
        <v>&gt;5M</v>
      </c>
    </row>
    <row r="386" spans="4:18">
      <c r="D386" s="25" t="s">
        <v>118</v>
      </c>
      <c r="E386" s="25" t="s">
        <v>119</v>
      </c>
      <c r="F386" s="25" t="s">
        <v>825</v>
      </c>
      <c r="G386" s="26">
        <v>45852</v>
      </c>
      <c r="H386" s="26">
        <v>45962</v>
      </c>
      <c r="I386" s="37">
        <v>7382030</v>
      </c>
      <c r="J386" s="25" t="s">
        <v>52</v>
      </c>
      <c r="K386" s="25" t="s">
        <v>94</v>
      </c>
      <c r="L386" s="25" t="s">
        <v>110</v>
      </c>
      <c r="M386" s="37">
        <v>59056240</v>
      </c>
      <c r="N386" s="34">
        <f t="shared" ca="1" si="25"/>
        <v>121</v>
      </c>
      <c r="O386" s="34" t="str">
        <f t="shared" ca="1" si="26"/>
        <v>90+</v>
      </c>
      <c r="P386" s="35">
        <f t="shared" si="27"/>
        <v>1.1840067624443035E-3</v>
      </c>
      <c r="Q386" s="36">
        <f t="shared" si="28"/>
        <v>0.125</v>
      </c>
      <c r="R386" s="34" t="str">
        <f t="shared" si="29"/>
        <v>&gt;5M</v>
      </c>
    </row>
    <row r="387" spans="4:18">
      <c r="D387" s="25" t="s">
        <v>826</v>
      </c>
      <c r="E387" s="25" t="s">
        <v>827</v>
      </c>
      <c r="F387" s="25" t="s">
        <v>828</v>
      </c>
      <c r="G387" s="26">
        <v>45731</v>
      </c>
      <c r="H387" s="26">
        <v>46001</v>
      </c>
      <c r="I387" s="37">
        <v>1489026</v>
      </c>
      <c r="J387" s="25" t="s">
        <v>99</v>
      </c>
      <c r="K387" s="25" t="s">
        <v>125</v>
      </c>
      <c r="L387" s="25" t="s">
        <v>114</v>
      </c>
      <c r="M387" s="37">
        <v>7445130</v>
      </c>
      <c r="N387" s="34">
        <f t="shared" ca="1" si="25"/>
        <v>82</v>
      </c>
      <c r="O387" s="34" t="str">
        <f t="shared" ca="1" si="26"/>
        <v>61-90</v>
      </c>
      <c r="P387" s="35">
        <f t="shared" si="27"/>
        <v>2.3882547936751697E-4</v>
      </c>
      <c r="Q387" s="36">
        <f t="shared" si="28"/>
        <v>0.2</v>
      </c>
      <c r="R387" s="34" t="str">
        <f t="shared" si="29"/>
        <v>500K-2M</v>
      </c>
    </row>
    <row r="388" spans="4:18">
      <c r="D388" s="25" t="s">
        <v>129</v>
      </c>
      <c r="E388" s="25" t="s">
        <v>130</v>
      </c>
      <c r="F388" s="25" t="s">
        <v>829</v>
      </c>
      <c r="G388" s="26">
        <v>45747</v>
      </c>
      <c r="H388" s="26">
        <v>46087</v>
      </c>
      <c r="I388" s="37">
        <v>4610520</v>
      </c>
      <c r="J388" s="25" t="s">
        <v>52</v>
      </c>
      <c r="K388" s="25" t="s">
        <v>134</v>
      </c>
      <c r="L388" s="25" t="s">
        <v>114</v>
      </c>
      <c r="M388" s="37">
        <v>27663120</v>
      </c>
      <c r="N388" s="34">
        <f t="shared" ca="1" si="25"/>
        <v>0</v>
      </c>
      <c r="O388" s="34" t="str">
        <f t="shared" ca="1" si="26"/>
        <v>Current</v>
      </c>
      <c r="P388" s="35">
        <f t="shared" si="27"/>
        <v>7.3948315820779775E-4</v>
      </c>
      <c r="Q388" s="36">
        <f t="shared" si="28"/>
        <v>0.16666666666666666</v>
      </c>
      <c r="R388" s="34" t="str">
        <f t="shared" si="29"/>
        <v>2M-5M</v>
      </c>
    </row>
    <row r="389" spans="4:18">
      <c r="D389" s="25" t="s">
        <v>340</v>
      </c>
      <c r="E389" s="25" t="s">
        <v>341</v>
      </c>
      <c r="F389" s="25" t="s">
        <v>830</v>
      </c>
      <c r="G389" s="26">
        <v>45810</v>
      </c>
      <c r="H389" s="26">
        <v>46107</v>
      </c>
      <c r="I389" s="37">
        <v>5221619</v>
      </c>
      <c r="J389" s="25" t="s">
        <v>99</v>
      </c>
      <c r="K389" s="25" t="s">
        <v>94</v>
      </c>
      <c r="L389" s="25" t="s">
        <v>114</v>
      </c>
      <c r="M389" s="37">
        <v>46994571</v>
      </c>
      <c r="N389" s="34">
        <f t="shared" ca="1" si="25"/>
        <v>0</v>
      </c>
      <c r="O389" s="34" t="str">
        <f t="shared" ca="1" si="26"/>
        <v>Current</v>
      </c>
      <c r="P389" s="35">
        <f t="shared" si="27"/>
        <v>8.3749757274186921E-4</v>
      </c>
      <c r="Q389" s="36">
        <f t="shared" si="28"/>
        <v>0.1111111111111111</v>
      </c>
      <c r="R389" s="34" t="str">
        <f t="shared" si="29"/>
        <v>&gt;5M</v>
      </c>
    </row>
    <row r="390" spans="4:18">
      <c r="D390" s="25" t="s">
        <v>91</v>
      </c>
      <c r="E390" s="25" t="s">
        <v>92</v>
      </c>
      <c r="F390" s="25" t="s">
        <v>831</v>
      </c>
      <c r="G390" s="26">
        <v>45911</v>
      </c>
      <c r="H390" s="26">
        <v>46028</v>
      </c>
      <c r="I390" s="37">
        <v>5400035</v>
      </c>
      <c r="J390" s="25" t="s">
        <v>52</v>
      </c>
      <c r="K390" s="25" t="s">
        <v>134</v>
      </c>
      <c r="L390" s="25" t="s">
        <v>114</v>
      </c>
      <c r="M390" s="37">
        <v>43200280</v>
      </c>
      <c r="N390" s="34">
        <f t="shared" ca="1" si="25"/>
        <v>55</v>
      </c>
      <c r="O390" s="34" t="str">
        <f t="shared" ca="1" si="26"/>
        <v>31-60</v>
      </c>
      <c r="P390" s="35">
        <f t="shared" si="27"/>
        <v>8.6611378678167438E-4</v>
      </c>
      <c r="Q390" s="36">
        <f t="shared" si="28"/>
        <v>0.125</v>
      </c>
      <c r="R390" s="34" t="str">
        <f t="shared" si="29"/>
        <v>&gt;5M</v>
      </c>
    </row>
    <row r="391" spans="4:18">
      <c r="D391" s="25" t="s">
        <v>229</v>
      </c>
      <c r="E391" s="25" t="s">
        <v>230</v>
      </c>
      <c r="F391" s="25" t="s">
        <v>832</v>
      </c>
      <c r="G391" s="26">
        <v>45786</v>
      </c>
      <c r="H391" s="26">
        <v>45961</v>
      </c>
      <c r="I391" s="37">
        <v>3672726</v>
      </c>
      <c r="J391" s="25" t="s">
        <v>52</v>
      </c>
      <c r="K391" s="25" t="s">
        <v>109</v>
      </c>
      <c r="L391" s="25" t="s">
        <v>138</v>
      </c>
      <c r="M391" s="37">
        <v>36727260</v>
      </c>
      <c r="N391" s="34">
        <f t="shared" ca="1" si="25"/>
        <v>122</v>
      </c>
      <c r="O391" s="34" t="str">
        <f t="shared" ca="1" si="26"/>
        <v>90+</v>
      </c>
      <c r="P391" s="35">
        <f t="shared" si="27"/>
        <v>5.8907000115212432E-4</v>
      </c>
      <c r="Q391" s="36">
        <f t="shared" si="28"/>
        <v>0.1</v>
      </c>
      <c r="R391" s="34" t="str">
        <f t="shared" si="29"/>
        <v>2M-5M</v>
      </c>
    </row>
    <row r="392" spans="4:18">
      <c r="D392" s="25" t="s">
        <v>833</v>
      </c>
      <c r="E392" s="25" t="s">
        <v>834</v>
      </c>
      <c r="F392" s="25" t="s">
        <v>835</v>
      </c>
      <c r="G392" s="26">
        <v>45740</v>
      </c>
      <c r="H392" s="26">
        <v>46014</v>
      </c>
      <c r="I392" s="37">
        <v>7967194</v>
      </c>
      <c r="J392" s="25" t="s">
        <v>99</v>
      </c>
      <c r="K392" s="25" t="s">
        <v>89</v>
      </c>
      <c r="L392" s="25" t="s">
        <v>90</v>
      </c>
      <c r="M392" s="37">
        <v>23901582</v>
      </c>
      <c r="N392" s="34">
        <f t="shared" ref="N392:N438" ca="1" si="30">MAX(0,TODAY()-H392)</f>
        <v>69</v>
      </c>
      <c r="O392" s="34" t="str">
        <f t="shared" ref="O392:O438" ca="1" si="31">IF(N392&lt;=0,"Current",
IF(N392&lt;=30,"1-30",
IF(N392&lt;=60,"31-60",
IF(N392&lt;=90,"61-90","90+"))))</f>
        <v>61-90</v>
      </c>
      <c r="P392" s="35">
        <f t="shared" ref="P392:P438" si="32">I392/SUM($I$7:$I$438)</f>
        <v>1.2778614518913739E-3</v>
      </c>
      <c r="Q392" s="36">
        <f t="shared" ref="Q392:Q438" si="33">I392/M392</f>
        <v>0.33333333333333331</v>
      </c>
      <c r="R392" s="34" t="str">
        <f t="shared" ref="R392:R438" si="34">IF(I392&lt;500000,"&lt;500K",
IF(I392&lt;2000000,"500K-2M",
IF(I392&lt;5000000,"2M-5M","&gt;5M")))</f>
        <v>&gt;5M</v>
      </c>
    </row>
    <row r="393" spans="4:18">
      <c r="D393" s="25" t="s">
        <v>96</v>
      </c>
      <c r="E393" s="25" t="s">
        <v>97</v>
      </c>
      <c r="F393" s="25" t="s">
        <v>836</v>
      </c>
      <c r="G393" s="26">
        <v>45871</v>
      </c>
      <c r="H393" s="26">
        <v>46129</v>
      </c>
      <c r="I393" s="37">
        <v>4963055</v>
      </c>
      <c r="J393" s="25" t="s">
        <v>99</v>
      </c>
      <c r="K393" s="25" t="s">
        <v>125</v>
      </c>
      <c r="L393" s="25" t="s">
        <v>90</v>
      </c>
      <c r="M393" s="37">
        <v>14889165</v>
      </c>
      <c r="N393" s="34">
        <f t="shared" ca="1" si="30"/>
        <v>0</v>
      </c>
      <c r="O393" s="34" t="str">
        <f t="shared" ca="1" si="31"/>
        <v>Current</v>
      </c>
      <c r="P393" s="35">
        <f t="shared" si="32"/>
        <v>7.960263887281699E-4</v>
      </c>
      <c r="Q393" s="36">
        <f t="shared" si="33"/>
        <v>0.33333333333333331</v>
      </c>
      <c r="R393" s="34" t="str">
        <f t="shared" si="34"/>
        <v>2M-5M</v>
      </c>
    </row>
    <row r="394" spans="4:18">
      <c r="D394" s="25" t="s">
        <v>837</v>
      </c>
      <c r="E394" s="25" t="s">
        <v>838</v>
      </c>
      <c r="F394" s="25" t="s">
        <v>839</v>
      </c>
      <c r="G394" s="26">
        <v>45797</v>
      </c>
      <c r="H394" s="26">
        <v>46042</v>
      </c>
      <c r="I394" s="37">
        <v>5489890</v>
      </c>
      <c r="J394" s="25" t="s">
        <v>99</v>
      </c>
      <c r="K394" s="25" t="s">
        <v>134</v>
      </c>
      <c r="L394" s="25" t="s">
        <v>95</v>
      </c>
      <c r="M394" s="37">
        <v>27449450</v>
      </c>
      <c r="N394" s="34">
        <f t="shared" ca="1" si="30"/>
        <v>41</v>
      </c>
      <c r="O394" s="34" t="str">
        <f t="shared" ca="1" si="31"/>
        <v>31-60</v>
      </c>
      <c r="P394" s="35">
        <f t="shared" si="32"/>
        <v>8.8052566639194862E-4</v>
      </c>
      <c r="Q394" s="36">
        <f t="shared" si="33"/>
        <v>0.2</v>
      </c>
      <c r="R394" s="34" t="str">
        <f t="shared" si="34"/>
        <v>&gt;5M</v>
      </c>
    </row>
    <row r="395" spans="4:18">
      <c r="D395" s="25" t="s">
        <v>412</v>
      </c>
      <c r="E395" s="25" t="s">
        <v>413</v>
      </c>
      <c r="F395" s="25" t="s">
        <v>840</v>
      </c>
      <c r="G395" s="26">
        <v>45893</v>
      </c>
      <c r="H395" s="26">
        <v>46068</v>
      </c>
      <c r="I395" s="37">
        <v>7742854</v>
      </c>
      <c r="J395" s="25" t="s">
        <v>99</v>
      </c>
      <c r="K395" s="25" t="s">
        <v>56</v>
      </c>
      <c r="L395" s="25" t="s">
        <v>114</v>
      </c>
      <c r="M395" s="37">
        <v>69685686</v>
      </c>
      <c r="N395" s="34">
        <f t="shared" ca="1" si="30"/>
        <v>15</v>
      </c>
      <c r="O395" s="34" t="str">
        <f t="shared" ca="1" si="31"/>
        <v>1-30</v>
      </c>
      <c r="P395" s="35">
        <f t="shared" si="32"/>
        <v>1.241879469010411E-3</v>
      </c>
      <c r="Q395" s="36">
        <f t="shared" si="33"/>
        <v>0.1111111111111111</v>
      </c>
      <c r="R395" s="34" t="str">
        <f t="shared" si="34"/>
        <v>&gt;5M</v>
      </c>
    </row>
    <row r="396" spans="4:18">
      <c r="D396" s="25" t="s">
        <v>261</v>
      </c>
      <c r="E396" s="25" t="s">
        <v>262</v>
      </c>
      <c r="F396" s="25" t="s">
        <v>841</v>
      </c>
      <c r="G396" s="26">
        <v>45726</v>
      </c>
      <c r="H396" s="26">
        <v>46110</v>
      </c>
      <c r="I396" s="37">
        <v>6762179</v>
      </c>
      <c r="J396" s="25" t="s">
        <v>52</v>
      </c>
      <c r="K396" s="25" t="s">
        <v>109</v>
      </c>
      <c r="L396" s="25" t="s">
        <v>121</v>
      </c>
      <c r="M396" s="37">
        <v>54097432</v>
      </c>
      <c r="N396" s="34">
        <f t="shared" ca="1" si="30"/>
        <v>0</v>
      </c>
      <c r="O396" s="34" t="str">
        <f t="shared" ca="1" si="31"/>
        <v>Current</v>
      </c>
      <c r="P396" s="35">
        <f t="shared" si="32"/>
        <v>1.0845886111081717E-3</v>
      </c>
      <c r="Q396" s="36">
        <f t="shared" si="33"/>
        <v>0.125</v>
      </c>
      <c r="R396" s="34" t="str">
        <f t="shared" si="34"/>
        <v>&gt;5M</v>
      </c>
    </row>
    <row r="397" spans="4:18">
      <c r="D397" s="25" t="s">
        <v>387</v>
      </c>
      <c r="E397" s="25" t="s">
        <v>388</v>
      </c>
      <c r="F397" s="25" t="s">
        <v>842</v>
      </c>
      <c r="G397" s="26">
        <v>45899</v>
      </c>
      <c r="H397" s="26">
        <v>46103</v>
      </c>
      <c r="I397" s="37">
        <v>6081150</v>
      </c>
      <c r="J397" s="25" t="s">
        <v>52</v>
      </c>
      <c r="K397" s="25" t="s">
        <v>125</v>
      </c>
      <c r="L397" s="25" t="s">
        <v>114</v>
      </c>
      <c r="M397" s="37">
        <v>36486900</v>
      </c>
      <c r="N397" s="34">
        <f t="shared" ca="1" si="30"/>
        <v>0</v>
      </c>
      <c r="O397" s="34" t="str">
        <f t="shared" ca="1" si="31"/>
        <v>Current</v>
      </c>
      <c r="P397" s="35">
        <f t="shared" si="32"/>
        <v>9.7535809573222755E-4</v>
      </c>
      <c r="Q397" s="36">
        <f t="shared" si="33"/>
        <v>0.16666666666666666</v>
      </c>
      <c r="R397" s="34" t="str">
        <f t="shared" si="34"/>
        <v>&gt;5M</v>
      </c>
    </row>
    <row r="398" spans="4:18">
      <c r="D398" s="25" t="s">
        <v>168</v>
      </c>
      <c r="E398" s="25" t="s">
        <v>169</v>
      </c>
      <c r="F398" s="25" t="s">
        <v>843</v>
      </c>
      <c r="G398" s="26">
        <v>45839</v>
      </c>
      <c r="H398" s="26">
        <v>46104</v>
      </c>
      <c r="I398" s="37">
        <v>6171536</v>
      </c>
      <c r="J398" s="25" t="s">
        <v>52</v>
      </c>
      <c r="K398" s="25" t="s">
        <v>89</v>
      </c>
      <c r="L398" s="25" t="s">
        <v>114</v>
      </c>
      <c r="M398" s="37">
        <v>43200752</v>
      </c>
      <c r="N398" s="34">
        <f t="shared" ca="1" si="30"/>
        <v>0</v>
      </c>
      <c r="O398" s="34" t="str">
        <f t="shared" ca="1" si="31"/>
        <v>Current</v>
      </c>
      <c r="P398" s="35">
        <f t="shared" si="32"/>
        <v>9.8985514264619172E-4</v>
      </c>
      <c r="Q398" s="36">
        <f t="shared" si="33"/>
        <v>0.14285714285714285</v>
      </c>
      <c r="R398" s="34" t="str">
        <f t="shared" si="34"/>
        <v>&gt;5M</v>
      </c>
    </row>
    <row r="399" spans="4:18">
      <c r="D399" s="25" t="s">
        <v>283</v>
      </c>
      <c r="E399" s="25" t="s">
        <v>284</v>
      </c>
      <c r="F399" s="25" t="s">
        <v>844</v>
      </c>
      <c r="G399" s="26">
        <v>45815</v>
      </c>
      <c r="H399" s="26">
        <v>46125</v>
      </c>
      <c r="I399" s="37">
        <v>7458967</v>
      </c>
      <c r="J399" s="25" t="s">
        <v>133</v>
      </c>
      <c r="K399" s="25" t="s">
        <v>89</v>
      </c>
      <c r="L399" s="25" t="s">
        <v>114</v>
      </c>
      <c r="M399" s="37">
        <v>52212769</v>
      </c>
      <c r="N399" s="34">
        <f t="shared" ca="1" si="30"/>
        <v>0</v>
      </c>
      <c r="O399" s="34" t="str">
        <f t="shared" ca="1" si="31"/>
        <v>Current</v>
      </c>
      <c r="P399" s="35">
        <f t="shared" si="32"/>
        <v>1.1963467188359975E-3</v>
      </c>
      <c r="Q399" s="36">
        <f t="shared" si="33"/>
        <v>0.14285714285714285</v>
      </c>
      <c r="R399" s="34" t="str">
        <f t="shared" si="34"/>
        <v>&gt;5M</v>
      </c>
    </row>
    <row r="400" spans="4:18">
      <c r="D400" s="25" t="s">
        <v>149</v>
      </c>
      <c r="E400" s="25" t="s">
        <v>150</v>
      </c>
      <c r="F400" s="25" t="s">
        <v>845</v>
      </c>
      <c r="G400" s="26">
        <v>45753</v>
      </c>
      <c r="H400" s="26">
        <v>46083</v>
      </c>
      <c r="I400" s="37">
        <v>6305129</v>
      </c>
      <c r="J400" s="25" t="s">
        <v>133</v>
      </c>
      <c r="K400" s="25" t="s">
        <v>134</v>
      </c>
      <c r="L400" s="25" t="s">
        <v>110</v>
      </c>
      <c r="M400" s="37">
        <v>12610258</v>
      </c>
      <c r="N400" s="34">
        <f t="shared" ca="1" si="30"/>
        <v>0</v>
      </c>
      <c r="O400" s="34" t="str">
        <f t="shared" ca="1" si="31"/>
        <v>Current</v>
      </c>
      <c r="P400" s="35">
        <f t="shared" si="32"/>
        <v>1.0112821776779135E-3</v>
      </c>
      <c r="Q400" s="36">
        <f t="shared" si="33"/>
        <v>0.5</v>
      </c>
      <c r="R400" s="34" t="str">
        <f t="shared" si="34"/>
        <v>&gt;5M</v>
      </c>
    </row>
    <row r="401" spans="4:18">
      <c r="D401" s="25" t="s">
        <v>353</v>
      </c>
      <c r="E401" s="25" t="s">
        <v>354</v>
      </c>
      <c r="F401" s="25" t="s">
        <v>846</v>
      </c>
      <c r="G401" s="26">
        <v>45836</v>
      </c>
      <c r="H401" s="26">
        <v>45947</v>
      </c>
      <c r="I401" s="37">
        <v>5041001</v>
      </c>
      <c r="J401" s="25" t="s">
        <v>99</v>
      </c>
      <c r="K401" s="25" t="s">
        <v>125</v>
      </c>
      <c r="L401" s="25" t="s">
        <v>138</v>
      </c>
      <c r="M401" s="37">
        <v>10082002</v>
      </c>
      <c r="N401" s="34">
        <f t="shared" ca="1" si="30"/>
        <v>136</v>
      </c>
      <c r="O401" s="34" t="str">
        <f t="shared" ca="1" si="31"/>
        <v>90+</v>
      </c>
      <c r="P401" s="35">
        <f t="shared" si="32"/>
        <v>8.0852817903591498E-4</v>
      </c>
      <c r="Q401" s="36">
        <f t="shared" si="33"/>
        <v>0.5</v>
      </c>
      <c r="R401" s="34" t="str">
        <f t="shared" si="34"/>
        <v>&gt;5M</v>
      </c>
    </row>
    <row r="402" spans="4:18">
      <c r="D402" s="25" t="s">
        <v>622</v>
      </c>
      <c r="E402" s="25" t="s">
        <v>623</v>
      </c>
      <c r="F402" s="25" t="s">
        <v>847</v>
      </c>
      <c r="G402" s="26">
        <v>46036</v>
      </c>
      <c r="H402" s="26">
        <v>45953</v>
      </c>
      <c r="I402" s="37">
        <v>3126778</v>
      </c>
      <c r="J402" s="25" t="s">
        <v>99</v>
      </c>
      <c r="K402" s="25" t="s">
        <v>134</v>
      </c>
      <c r="L402" s="25" t="s">
        <v>90</v>
      </c>
      <c r="M402" s="37">
        <v>28141002</v>
      </c>
      <c r="N402" s="34">
        <f t="shared" ca="1" si="30"/>
        <v>130</v>
      </c>
      <c r="O402" s="34" t="str">
        <f t="shared" ca="1" si="31"/>
        <v>90+</v>
      </c>
      <c r="P402" s="35">
        <f t="shared" si="32"/>
        <v>5.0150518172671665E-4</v>
      </c>
      <c r="Q402" s="36">
        <f t="shared" si="33"/>
        <v>0.1111111111111111</v>
      </c>
      <c r="R402" s="34" t="str">
        <f t="shared" si="34"/>
        <v>2M-5M</v>
      </c>
    </row>
    <row r="403" spans="4:18">
      <c r="D403" s="25" t="s">
        <v>270</v>
      </c>
      <c r="E403" s="25" t="s">
        <v>271</v>
      </c>
      <c r="F403" s="25" t="s">
        <v>848</v>
      </c>
      <c r="G403" s="26">
        <v>45888</v>
      </c>
      <c r="H403" s="26">
        <v>45990</v>
      </c>
      <c r="I403" s="37">
        <v>7544857</v>
      </c>
      <c r="J403" s="25" t="s">
        <v>99</v>
      </c>
      <c r="K403" s="25" t="s">
        <v>134</v>
      </c>
      <c r="L403" s="25" t="s">
        <v>90</v>
      </c>
      <c r="M403" s="37">
        <v>30179428</v>
      </c>
      <c r="N403" s="34">
        <f t="shared" ca="1" si="30"/>
        <v>93</v>
      </c>
      <c r="O403" s="34" t="str">
        <f t="shared" ca="1" si="31"/>
        <v>90+</v>
      </c>
      <c r="P403" s="35">
        <f t="shared" si="32"/>
        <v>1.21012265050064E-3</v>
      </c>
      <c r="Q403" s="36">
        <f t="shared" si="33"/>
        <v>0.25</v>
      </c>
      <c r="R403" s="34" t="str">
        <f t="shared" si="34"/>
        <v>&gt;5M</v>
      </c>
    </row>
    <row r="404" spans="4:18">
      <c r="D404" s="25" t="s">
        <v>129</v>
      </c>
      <c r="E404" s="25" t="s">
        <v>130</v>
      </c>
      <c r="F404" s="25" t="s">
        <v>849</v>
      </c>
      <c r="G404" s="26">
        <v>45985</v>
      </c>
      <c r="H404" s="26">
        <v>46095</v>
      </c>
      <c r="I404" s="37">
        <v>4261694</v>
      </c>
      <c r="J404" s="25" t="s">
        <v>52</v>
      </c>
      <c r="K404" s="25" t="s">
        <v>89</v>
      </c>
      <c r="L404" s="25" t="s">
        <v>90</v>
      </c>
      <c r="M404" s="37">
        <v>21308470</v>
      </c>
      <c r="N404" s="34">
        <f t="shared" ca="1" si="30"/>
        <v>0</v>
      </c>
      <c r="O404" s="34" t="str">
        <f t="shared" ca="1" si="31"/>
        <v>Current</v>
      </c>
      <c r="P404" s="35">
        <f t="shared" si="32"/>
        <v>6.8353481569003555E-4</v>
      </c>
      <c r="Q404" s="36">
        <f t="shared" si="33"/>
        <v>0.2</v>
      </c>
      <c r="R404" s="34" t="str">
        <f t="shared" si="34"/>
        <v>2M-5M</v>
      </c>
    </row>
    <row r="405" spans="4:18">
      <c r="D405" s="25" t="s">
        <v>384</v>
      </c>
      <c r="E405" s="25" t="s">
        <v>385</v>
      </c>
      <c r="F405" s="25" t="s">
        <v>850</v>
      </c>
      <c r="G405" s="26">
        <v>46034</v>
      </c>
      <c r="H405" s="26">
        <v>46017</v>
      </c>
      <c r="I405" s="37">
        <v>5904014</v>
      </c>
      <c r="J405" s="25" t="s">
        <v>52</v>
      </c>
      <c r="K405" s="25" t="s">
        <v>89</v>
      </c>
      <c r="L405" s="25" t="s">
        <v>110</v>
      </c>
      <c r="M405" s="37">
        <v>35424084</v>
      </c>
      <c r="N405" s="34">
        <f t="shared" ca="1" si="30"/>
        <v>66</v>
      </c>
      <c r="O405" s="34" t="str">
        <f t="shared" ca="1" si="31"/>
        <v>61-90</v>
      </c>
      <c r="P405" s="35">
        <f t="shared" si="32"/>
        <v>9.4694718140753175E-4</v>
      </c>
      <c r="Q405" s="36">
        <f t="shared" si="33"/>
        <v>0.16666666666666666</v>
      </c>
      <c r="R405" s="34" t="str">
        <f t="shared" si="34"/>
        <v>&gt;5M</v>
      </c>
    </row>
    <row r="406" spans="4:18">
      <c r="D406" s="25" t="s">
        <v>303</v>
      </c>
      <c r="E406" s="25" t="s">
        <v>304</v>
      </c>
      <c r="F406" s="25" t="s">
        <v>851</v>
      </c>
      <c r="G406" s="26">
        <v>45776</v>
      </c>
      <c r="H406" s="26">
        <v>45982</v>
      </c>
      <c r="I406" s="37">
        <v>2716744</v>
      </c>
      <c r="J406" s="25" t="s">
        <v>52</v>
      </c>
      <c r="K406" s="25" t="s">
        <v>109</v>
      </c>
      <c r="L406" s="25" t="s">
        <v>114</v>
      </c>
      <c r="M406" s="37">
        <v>24450696</v>
      </c>
      <c r="N406" s="34">
        <f t="shared" ca="1" si="30"/>
        <v>101</v>
      </c>
      <c r="O406" s="34" t="str">
        <f t="shared" ca="1" si="31"/>
        <v>90+</v>
      </c>
      <c r="P406" s="35">
        <f t="shared" si="32"/>
        <v>4.3573966345706894E-4</v>
      </c>
      <c r="Q406" s="36">
        <f t="shared" si="33"/>
        <v>0.1111111111111111</v>
      </c>
      <c r="R406" s="34" t="str">
        <f t="shared" si="34"/>
        <v>2M-5M</v>
      </c>
    </row>
    <row r="407" spans="4:18">
      <c r="D407" s="25" t="s">
        <v>534</v>
      </c>
      <c r="E407" s="25" t="s">
        <v>535</v>
      </c>
      <c r="F407" s="25" t="s">
        <v>852</v>
      </c>
      <c r="G407" s="26">
        <v>45862</v>
      </c>
      <c r="H407" s="26">
        <v>46071</v>
      </c>
      <c r="I407" s="37">
        <v>1637817</v>
      </c>
      <c r="J407" s="25" t="s">
        <v>52</v>
      </c>
      <c r="K407" s="25" t="s">
        <v>56</v>
      </c>
      <c r="L407" s="25" t="s">
        <v>90</v>
      </c>
      <c r="M407" s="37">
        <v>3275634</v>
      </c>
      <c r="N407" s="34">
        <f t="shared" ca="1" si="30"/>
        <v>12</v>
      </c>
      <c r="O407" s="34" t="str">
        <f t="shared" ca="1" si="31"/>
        <v>1-30</v>
      </c>
      <c r="P407" s="35">
        <f t="shared" si="32"/>
        <v>2.6269012773535755E-4</v>
      </c>
      <c r="Q407" s="36">
        <f t="shared" si="33"/>
        <v>0.5</v>
      </c>
      <c r="R407" s="34" t="str">
        <f t="shared" si="34"/>
        <v>500K-2M</v>
      </c>
    </row>
    <row r="408" spans="4:18">
      <c r="D408" s="25" t="s">
        <v>296</v>
      </c>
      <c r="E408" s="25" t="s">
        <v>297</v>
      </c>
      <c r="F408" s="25" t="s">
        <v>853</v>
      </c>
      <c r="G408" s="26">
        <v>45796</v>
      </c>
      <c r="H408" s="26">
        <v>46068</v>
      </c>
      <c r="I408" s="37">
        <v>5557184</v>
      </c>
      <c r="J408" s="25" t="s">
        <v>52</v>
      </c>
      <c r="K408" s="25" t="s">
        <v>94</v>
      </c>
      <c r="L408" s="25" t="s">
        <v>114</v>
      </c>
      <c r="M408" s="37">
        <v>38900288</v>
      </c>
      <c r="N408" s="34">
        <f t="shared" ca="1" si="30"/>
        <v>15</v>
      </c>
      <c r="O408" s="34" t="str">
        <f t="shared" ca="1" si="31"/>
        <v>1-30</v>
      </c>
      <c r="P408" s="35">
        <f t="shared" si="32"/>
        <v>8.9131897813301815E-4</v>
      </c>
      <c r="Q408" s="36">
        <f t="shared" si="33"/>
        <v>0.14285714285714285</v>
      </c>
      <c r="R408" s="34" t="str">
        <f t="shared" si="34"/>
        <v>&gt;5M</v>
      </c>
    </row>
    <row r="409" spans="4:18">
      <c r="D409" s="25" t="s">
        <v>854</v>
      </c>
      <c r="E409" s="25" t="s">
        <v>855</v>
      </c>
      <c r="F409" s="25" t="s">
        <v>856</v>
      </c>
      <c r="G409" s="26">
        <v>45740</v>
      </c>
      <c r="H409" s="26">
        <v>46034</v>
      </c>
      <c r="I409" s="37">
        <v>6264443</v>
      </c>
      <c r="J409" s="25" t="s">
        <v>52</v>
      </c>
      <c r="K409" s="25" t="s">
        <v>134</v>
      </c>
      <c r="L409" s="25" t="s">
        <v>121</v>
      </c>
      <c r="M409" s="37">
        <v>12528886</v>
      </c>
      <c r="N409" s="34">
        <f t="shared" ca="1" si="30"/>
        <v>49</v>
      </c>
      <c r="O409" s="34" t="str">
        <f t="shared" ca="1" si="31"/>
        <v>31-60</v>
      </c>
      <c r="P409" s="35">
        <f t="shared" si="32"/>
        <v>1.0047565337646799E-3</v>
      </c>
      <c r="Q409" s="36">
        <f t="shared" si="33"/>
        <v>0.5</v>
      </c>
      <c r="R409" s="34" t="str">
        <f t="shared" si="34"/>
        <v>&gt;5M</v>
      </c>
    </row>
    <row r="410" spans="4:18">
      <c r="D410" s="25" t="s">
        <v>462</v>
      </c>
      <c r="E410" s="25" t="s">
        <v>463</v>
      </c>
      <c r="F410" s="25" t="s">
        <v>857</v>
      </c>
      <c r="G410" s="26">
        <v>45763</v>
      </c>
      <c r="H410" s="26">
        <v>46009</v>
      </c>
      <c r="I410" s="37">
        <v>3348610</v>
      </c>
      <c r="J410" s="25" t="s">
        <v>52</v>
      </c>
      <c r="K410" s="25" t="s">
        <v>89</v>
      </c>
      <c r="L410" s="25" t="s">
        <v>114</v>
      </c>
      <c r="M410" s="37">
        <v>10045830</v>
      </c>
      <c r="N410" s="34">
        <f t="shared" ca="1" si="30"/>
        <v>74</v>
      </c>
      <c r="O410" s="34" t="str">
        <f t="shared" ca="1" si="31"/>
        <v>61-90</v>
      </c>
      <c r="P410" s="35">
        <f t="shared" si="32"/>
        <v>5.3708490547838721E-4</v>
      </c>
      <c r="Q410" s="36">
        <f t="shared" si="33"/>
        <v>0.33333333333333331</v>
      </c>
      <c r="R410" s="34" t="str">
        <f t="shared" si="34"/>
        <v>2M-5M</v>
      </c>
    </row>
    <row r="411" spans="4:18">
      <c r="D411" s="25" t="s">
        <v>343</v>
      </c>
      <c r="E411" s="25" t="s">
        <v>344</v>
      </c>
      <c r="F411" s="25" t="s">
        <v>858</v>
      </c>
      <c r="G411" s="26">
        <v>45831</v>
      </c>
      <c r="H411" s="26">
        <v>46074</v>
      </c>
      <c r="I411" s="37">
        <v>6202599</v>
      </c>
      <c r="J411" s="25" t="s">
        <v>52</v>
      </c>
      <c r="K411" s="25" t="s">
        <v>134</v>
      </c>
      <c r="L411" s="25" t="s">
        <v>110</v>
      </c>
      <c r="M411" s="37">
        <v>37215594</v>
      </c>
      <c r="N411" s="34">
        <f t="shared" ca="1" si="30"/>
        <v>9</v>
      </c>
      <c r="O411" s="34" t="str">
        <f t="shared" ca="1" si="31"/>
        <v>1-30</v>
      </c>
      <c r="P411" s="35">
        <f t="shared" si="32"/>
        <v>9.9483734971684938E-4</v>
      </c>
      <c r="Q411" s="36">
        <f t="shared" si="33"/>
        <v>0.16666666666666666</v>
      </c>
      <c r="R411" s="34" t="str">
        <f t="shared" si="34"/>
        <v>&gt;5M</v>
      </c>
    </row>
    <row r="412" spans="4:18">
      <c r="D412" s="25" t="s">
        <v>395</v>
      </c>
      <c r="E412" s="25" t="s">
        <v>396</v>
      </c>
      <c r="F412" s="25" t="s">
        <v>859</v>
      </c>
      <c r="G412" s="26">
        <v>45956</v>
      </c>
      <c r="H412" s="26">
        <v>45915</v>
      </c>
      <c r="I412" s="37">
        <v>5624393</v>
      </c>
      <c r="J412" s="25" t="s">
        <v>99</v>
      </c>
      <c r="K412" s="25" t="s">
        <v>125</v>
      </c>
      <c r="L412" s="25" t="s">
        <v>95</v>
      </c>
      <c r="M412" s="37">
        <v>16873179</v>
      </c>
      <c r="N412" s="34">
        <f t="shared" ca="1" si="30"/>
        <v>168</v>
      </c>
      <c r="O412" s="34" t="str">
        <f t="shared" ca="1" si="31"/>
        <v>90+</v>
      </c>
      <c r="P412" s="35">
        <f t="shared" si="32"/>
        <v>9.0209865668988112E-4</v>
      </c>
      <c r="Q412" s="36">
        <f t="shared" si="33"/>
        <v>0.33333333333333331</v>
      </c>
      <c r="R412" s="34" t="str">
        <f t="shared" si="34"/>
        <v>&gt;5M</v>
      </c>
    </row>
    <row r="413" spans="4:18">
      <c r="D413" s="25" t="s">
        <v>559</v>
      </c>
      <c r="E413" s="25" t="s">
        <v>560</v>
      </c>
      <c r="F413" s="25" t="s">
        <v>860</v>
      </c>
      <c r="G413" s="26">
        <v>45904</v>
      </c>
      <c r="H413" s="26">
        <v>46024</v>
      </c>
      <c r="I413" s="37">
        <v>380972</v>
      </c>
      <c r="J413" s="25" t="s">
        <v>99</v>
      </c>
      <c r="K413" s="25" t="s">
        <v>125</v>
      </c>
      <c r="L413" s="25" t="s">
        <v>114</v>
      </c>
      <c r="M413" s="37">
        <v>1142916</v>
      </c>
      <c r="N413" s="34">
        <f t="shared" ca="1" si="30"/>
        <v>59</v>
      </c>
      <c r="O413" s="34" t="str">
        <f t="shared" ca="1" si="31"/>
        <v>31-60</v>
      </c>
      <c r="P413" s="35">
        <f t="shared" si="32"/>
        <v>6.1104252394250793E-5</v>
      </c>
      <c r="Q413" s="36">
        <f t="shared" si="33"/>
        <v>0.33333333333333331</v>
      </c>
      <c r="R413" s="34" t="str">
        <f t="shared" si="34"/>
        <v>&lt;500K</v>
      </c>
    </row>
    <row r="414" spans="4:18">
      <c r="D414" s="25" t="s">
        <v>387</v>
      </c>
      <c r="E414" s="25" t="s">
        <v>388</v>
      </c>
      <c r="F414" s="25" t="s">
        <v>861</v>
      </c>
      <c r="G414" s="26">
        <v>46044</v>
      </c>
      <c r="H414" s="26">
        <v>45927</v>
      </c>
      <c r="I414" s="37">
        <v>6714967</v>
      </c>
      <c r="J414" s="25" t="s">
        <v>99</v>
      </c>
      <c r="K414" s="25" t="s">
        <v>134</v>
      </c>
      <c r="L414" s="25" t="s">
        <v>138</v>
      </c>
      <c r="M414" s="37">
        <v>13429934</v>
      </c>
      <c r="N414" s="34">
        <f t="shared" ca="1" si="30"/>
        <v>156</v>
      </c>
      <c r="O414" s="34" t="str">
        <f t="shared" ca="1" si="31"/>
        <v>90+</v>
      </c>
      <c r="P414" s="35">
        <f t="shared" si="32"/>
        <v>1.0770162594286852E-3</v>
      </c>
      <c r="Q414" s="36">
        <f t="shared" si="33"/>
        <v>0.5</v>
      </c>
      <c r="R414" s="34" t="str">
        <f t="shared" si="34"/>
        <v>&gt;5M</v>
      </c>
    </row>
    <row r="415" spans="4:18">
      <c r="D415" s="25" t="s">
        <v>579</v>
      </c>
      <c r="E415" s="25" t="s">
        <v>580</v>
      </c>
      <c r="F415" s="25" t="s">
        <v>862</v>
      </c>
      <c r="G415" s="26">
        <v>45816</v>
      </c>
      <c r="H415" s="26">
        <v>45977</v>
      </c>
      <c r="I415" s="37">
        <v>1398246</v>
      </c>
      <c r="J415" s="25" t="s">
        <v>52</v>
      </c>
      <c r="K415" s="25" t="s">
        <v>125</v>
      </c>
      <c r="L415" s="25" t="s">
        <v>110</v>
      </c>
      <c r="M415" s="37">
        <v>4194738</v>
      </c>
      <c r="N415" s="34">
        <f t="shared" ca="1" si="30"/>
        <v>106</v>
      </c>
      <c r="O415" s="34" t="str">
        <f t="shared" ca="1" si="31"/>
        <v>90+</v>
      </c>
      <c r="P415" s="35">
        <f t="shared" si="32"/>
        <v>2.2426523863499571E-4</v>
      </c>
      <c r="Q415" s="36">
        <f t="shared" si="33"/>
        <v>0.33333333333333331</v>
      </c>
      <c r="R415" s="34" t="str">
        <f t="shared" si="34"/>
        <v>500K-2M</v>
      </c>
    </row>
    <row r="416" spans="4:18">
      <c r="D416" s="25" t="s">
        <v>296</v>
      </c>
      <c r="E416" s="25" t="s">
        <v>297</v>
      </c>
      <c r="F416" s="25" t="s">
        <v>863</v>
      </c>
      <c r="G416" s="26">
        <v>45985</v>
      </c>
      <c r="H416" s="26">
        <v>46046</v>
      </c>
      <c r="I416" s="37">
        <v>1000000000</v>
      </c>
      <c r="J416" s="25" t="s">
        <v>133</v>
      </c>
      <c r="K416" s="25" t="s">
        <v>109</v>
      </c>
      <c r="L416" s="25" t="s">
        <v>121</v>
      </c>
      <c r="M416" s="37">
        <v>3000000000</v>
      </c>
      <c r="N416" s="34">
        <f t="shared" ca="1" si="30"/>
        <v>37</v>
      </c>
      <c r="O416" s="34" t="str">
        <f t="shared" ca="1" si="31"/>
        <v>31-60</v>
      </c>
      <c r="P416" s="35">
        <f t="shared" si="32"/>
        <v>0.1603904024291832</v>
      </c>
      <c r="Q416" s="36">
        <f t="shared" si="33"/>
        <v>0.33333333333333331</v>
      </c>
      <c r="R416" s="34" t="str">
        <f t="shared" si="34"/>
        <v>&gt;5M</v>
      </c>
    </row>
    <row r="417" spans="4:18">
      <c r="D417" s="25" t="s">
        <v>606</v>
      </c>
      <c r="E417" s="25" t="s">
        <v>607</v>
      </c>
      <c r="F417" s="25" t="s">
        <v>864</v>
      </c>
      <c r="G417" s="26">
        <v>45972</v>
      </c>
      <c r="H417" s="26">
        <v>46006</v>
      </c>
      <c r="I417" s="37">
        <v>370490</v>
      </c>
      <c r="J417" s="25" t="s">
        <v>133</v>
      </c>
      <c r="K417" s="25" t="s">
        <v>89</v>
      </c>
      <c r="L417" s="25" t="s">
        <v>95</v>
      </c>
      <c r="M417" s="37">
        <v>1111470</v>
      </c>
      <c r="N417" s="34">
        <f t="shared" ca="1" si="30"/>
        <v>77</v>
      </c>
      <c r="O417" s="34" t="str">
        <f t="shared" ca="1" si="31"/>
        <v>61-90</v>
      </c>
      <c r="P417" s="35">
        <f t="shared" si="32"/>
        <v>5.9423040195988089E-5</v>
      </c>
      <c r="Q417" s="36">
        <f t="shared" si="33"/>
        <v>0.33333333333333331</v>
      </c>
      <c r="R417" s="34" t="str">
        <f t="shared" si="34"/>
        <v>&lt;500K</v>
      </c>
    </row>
    <row r="418" spans="4:18">
      <c r="D418" s="25" t="s">
        <v>520</v>
      </c>
      <c r="E418" s="25" t="s">
        <v>521</v>
      </c>
      <c r="F418" s="25" t="s">
        <v>865</v>
      </c>
      <c r="G418" s="26">
        <v>45747</v>
      </c>
      <c r="H418" s="26">
        <v>45968</v>
      </c>
      <c r="I418" s="37">
        <v>6038412</v>
      </c>
      <c r="J418" s="25" t="s">
        <v>99</v>
      </c>
      <c r="K418" s="25" t="s">
        <v>125</v>
      </c>
      <c r="L418" s="25" t="s">
        <v>95</v>
      </c>
      <c r="M418" s="37">
        <v>54345708</v>
      </c>
      <c r="N418" s="34">
        <f t="shared" ca="1" si="30"/>
        <v>115</v>
      </c>
      <c r="O418" s="34" t="str">
        <f t="shared" ca="1" si="31"/>
        <v>90+</v>
      </c>
      <c r="P418" s="35">
        <f t="shared" si="32"/>
        <v>9.685033307132091E-4</v>
      </c>
      <c r="Q418" s="36">
        <f t="shared" si="33"/>
        <v>0.1111111111111111</v>
      </c>
      <c r="R418" s="34" t="str">
        <f t="shared" si="34"/>
        <v>&gt;5M</v>
      </c>
    </row>
    <row r="419" spans="4:18">
      <c r="D419" s="25" t="s">
        <v>782</v>
      </c>
      <c r="E419" s="25" t="s">
        <v>783</v>
      </c>
      <c r="F419" s="25" t="s">
        <v>866</v>
      </c>
      <c r="G419" s="26">
        <v>45840</v>
      </c>
      <c r="H419" s="26">
        <v>45970</v>
      </c>
      <c r="I419" s="37">
        <v>1282416</v>
      </c>
      <c r="J419" s="25" t="s">
        <v>52</v>
      </c>
      <c r="K419" s="25" t="s">
        <v>89</v>
      </c>
      <c r="L419" s="25" t="s">
        <v>110</v>
      </c>
      <c r="M419" s="37">
        <v>3847248</v>
      </c>
      <c r="N419" s="34">
        <f t="shared" ca="1" si="30"/>
        <v>113</v>
      </c>
      <c r="O419" s="34" t="str">
        <f t="shared" ca="1" si="31"/>
        <v>90+</v>
      </c>
      <c r="P419" s="35">
        <f t="shared" si="32"/>
        <v>2.0568721832162342E-4</v>
      </c>
      <c r="Q419" s="36">
        <f t="shared" si="33"/>
        <v>0.33333333333333331</v>
      </c>
      <c r="R419" s="34" t="str">
        <f t="shared" si="34"/>
        <v>500K-2M</v>
      </c>
    </row>
    <row r="420" spans="4:18">
      <c r="D420" s="25" t="s">
        <v>626</v>
      </c>
      <c r="E420" s="25" t="s">
        <v>627</v>
      </c>
      <c r="F420" s="25" t="s">
        <v>867</v>
      </c>
      <c r="G420" s="26">
        <v>45819</v>
      </c>
      <c r="H420" s="26">
        <v>46108</v>
      </c>
      <c r="I420" s="37">
        <v>4131310</v>
      </c>
      <c r="J420" s="25" t="s">
        <v>99</v>
      </c>
      <c r="K420" s="25" t="s">
        <v>94</v>
      </c>
      <c r="L420" s="25" t="s">
        <v>121</v>
      </c>
      <c r="M420" s="37">
        <v>28919170</v>
      </c>
      <c r="N420" s="34">
        <f t="shared" ca="1" si="30"/>
        <v>0</v>
      </c>
      <c r="O420" s="34" t="str">
        <f t="shared" ca="1" si="31"/>
        <v>Current</v>
      </c>
      <c r="P420" s="35">
        <f t="shared" si="32"/>
        <v>6.6262247345970891E-4</v>
      </c>
      <c r="Q420" s="36">
        <f t="shared" si="33"/>
        <v>0.14285714285714285</v>
      </c>
      <c r="R420" s="34" t="str">
        <f t="shared" si="34"/>
        <v>2M-5M</v>
      </c>
    </row>
    <row r="421" spans="4:18">
      <c r="D421" s="25" t="s">
        <v>520</v>
      </c>
      <c r="E421" s="25" t="s">
        <v>521</v>
      </c>
      <c r="F421" s="25" t="s">
        <v>868</v>
      </c>
      <c r="G421" s="26">
        <v>45984</v>
      </c>
      <c r="H421" s="26">
        <v>45922</v>
      </c>
      <c r="I421" s="37">
        <v>5599471</v>
      </c>
      <c r="J421" s="25" t="s">
        <v>133</v>
      </c>
      <c r="K421" s="25" t="s">
        <v>109</v>
      </c>
      <c r="L421" s="25" t="s">
        <v>90</v>
      </c>
      <c r="M421" s="37">
        <v>33596826</v>
      </c>
      <c r="N421" s="34">
        <f t="shared" ca="1" si="30"/>
        <v>161</v>
      </c>
      <c r="O421" s="34" t="str">
        <f t="shared" ca="1" si="31"/>
        <v>90+</v>
      </c>
      <c r="P421" s="35">
        <f t="shared" si="32"/>
        <v>8.9810140708054093E-4</v>
      </c>
      <c r="Q421" s="36">
        <f t="shared" si="33"/>
        <v>0.16666666666666666</v>
      </c>
      <c r="R421" s="34" t="str">
        <f t="shared" si="34"/>
        <v>&gt;5M</v>
      </c>
    </row>
    <row r="422" spans="4:18">
      <c r="D422" s="25" t="s">
        <v>135</v>
      </c>
      <c r="E422" s="25" t="s">
        <v>136</v>
      </c>
      <c r="F422" s="25" t="s">
        <v>869</v>
      </c>
      <c r="G422" s="26">
        <v>45996</v>
      </c>
      <c r="H422" s="26">
        <v>45912</v>
      </c>
      <c r="I422" s="37">
        <v>7657901</v>
      </c>
      <c r="J422" s="25" t="s">
        <v>99</v>
      </c>
      <c r="K422" s="25" t="s">
        <v>94</v>
      </c>
      <c r="L422" s="25" t="s">
        <v>121</v>
      </c>
      <c r="M422" s="37">
        <v>76579010</v>
      </c>
      <c r="N422" s="34">
        <f t="shared" ca="1" si="30"/>
        <v>171</v>
      </c>
      <c r="O422" s="34" t="str">
        <f t="shared" ca="1" si="31"/>
        <v>90+</v>
      </c>
      <c r="P422" s="35">
        <f t="shared" si="32"/>
        <v>1.2282538231528446E-3</v>
      </c>
      <c r="Q422" s="36">
        <f t="shared" si="33"/>
        <v>0.1</v>
      </c>
      <c r="R422" s="34" t="str">
        <f t="shared" si="34"/>
        <v>&gt;5M</v>
      </c>
    </row>
    <row r="423" spans="4:18">
      <c r="D423" s="25" t="s">
        <v>146</v>
      </c>
      <c r="E423" s="25" t="s">
        <v>147</v>
      </c>
      <c r="F423" s="25" t="s">
        <v>870</v>
      </c>
      <c r="G423" s="26">
        <v>45892</v>
      </c>
      <c r="H423" s="26">
        <v>46076</v>
      </c>
      <c r="I423" s="37">
        <v>6753307</v>
      </c>
      <c r="J423" s="25" t="s">
        <v>52</v>
      </c>
      <c r="K423" s="25" t="s">
        <v>56</v>
      </c>
      <c r="L423" s="25" t="s">
        <v>95</v>
      </c>
      <c r="M423" s="37">
        <v>27013228</v>
      </c>
      <c r="N423" s="34">
        <f t="shared" ca="1" si="30"/>
        <v>7</v>
      </c>
      <c r="O423" s="34" t="str">
        <f t="shared" ca="1" si="31"/>
        <v>1-30</v>
      </c>
      <c r="P423" s="35">
        <f t="shared" si="32"/>
        <v>1.0831656274578199E-3</v>
      </c>
      <c r="Q423" s="36">
        <f t="shared" si="33"/>
        <v>0.25</v>
      </c>
      <c r="R423" s="34" t="str">
        <f t="shared" si="34"/>
        <v>&gt;5M</v>
      </c>
    </row>
    <row r="424" spans="4:18">
      <c r="D424" s="25" t="s">
        <v>115</v>
      </c>
      <c r="E424" s="25" t="s">
        <v>116</v>
      </c>
      <c r="F424" s="25" t="s">
        <v>871</v>
      </c>
      <c r="G424" s="26">
        <v>45846</v>
      </c>
      <c r="H424" s="26">
        <v>46039</v>
      </c>
      <c r="I424" s="37">
        <v>6671996</v>
      </c>
      <c r="J424" s="25" t="s">
        <v>52</v>
      </c>
      <c r="K424" s="25" t="s">
        <v>125</v>
      </c>
      <c r="L424" s="25" t="s">
        <v>114</v>
      </c>
      <c r="M424" s="37">
        <v>40031976</v>
      </c>
      <c r="N424" s="34">
        <f t="shared" ca="1" si="30"/>
        <v>44</v>
      </c>
      <c r="O424" s="34" t="str">
        <f t="shared" ca="1" si="31"/>
        <v>31-60</v>
      </c>
      <c r="P424" s="35">
        <f t="shared" si="32"/>
        <v>1.0701241234459006E-3</v>
      </c>
      <c r="Q424" s="36">
        <f t="shared" si="33"/>
        <v>0.16666666666666666</v>
      </c>
      <c r="R424" s="34" t="str">
        <f t="shared" si="34"/>
        <v>&gt;5M</v>
      </c>
    </row>
    <row r="425" spans="4:18">
      <c r="D425" s="25" t="s">
        <v>733</v>
      </c>
      <c r="E425" s="25" t="s">
        <v>734</v>
      </c>
      <c r="F425" s="25" t="s">
        <v>872</v>
      </c>
      <c r="G425" s="26">
        <v>45809</v>
      </c>
      <c r="H425" s="26">
        <v>46062</v>
      </c>
      <c r="I425" s="37">
        <v>5923859</v>
      </c>
      <c r="J425" s="25" t="s">
        <v>52</v>
      </c>
      <c r="K425" s="25" t="s">
        <v>89</v>
      </c>
      <c r="L425" s="25" t="s">
        <v>95</v>
      </c>
      <c r="M425" s="37">
        <v>41467013</v>
      </c>
      <c r="N425" s="34">
        <f t="shared" ca="1" si="30"/>
        <v>21</v>
      </c>
      <c r="O425" s="34" t="str">
        <f t="shared" ca="1" si="31"/>
        <v>1-30</v>
      </c>
      <c r="P425" s="35">
        <f t="shared" si="32"/>
        <v>9.5013012894373881E-4</v>
      </c>
      <c r="Q425" s="36">
        <f t="shared" si="33"/>
        <v>0.14285714285714285</v>
      </c>
      <c r="R425" s="34" t="str">
        <f t="shared" si="34"/>
        <v>&gt;5M</v>
      </c>
    </row>
    <row r="426" spans="4:18">
      <c r="D426" s="25" t="s">
        <v>162</v>
      </c>
      <c r="E426" s="25" t="s">
        <v>163</v>
      </c>
      <c r="F426" s="25" t="s">
        <v>873</v>
      </c>
      <c r="G426" s="26">
        <v>45918</v>
      </c>
      <c r="H426" s="26">
        <v>46104</v>
      </c>
      <c r="I426" s="37">
        <v>1019731</v>
      </c>
      <c r="J426" s="25" t="s">
        <v>52</v>
      </c>
      <c r="K426" s="25" t="s">
        <v>94</v>
      </c>
      <c r="L426" s="25" t="s">
        <v>138</v>
      </c>
      <c r="M426" s="37">
        <v>9177579</v>
      </c>
      <c r="N426" s="34">
        <f t="shared" ca="1" si="30"/>
        <v>0</v>
      </c>
      <c r="O426" s="34" t="str">
        <f t="shared" ca="1" si="31"/>
        <v>Current</v>
      </c>
      <c r="P426" s="35">
        <f t="shared" si="32"/>
        <v>1.6355506545951342E-4</v>
      </c>
      <c r="Q426" s="36">
        <f t="shared" si="33"/>
        <v>0.1111111111111111</v>
      </c>
      <c r="R426" s="34" t="str">
        <f t="shared" si="34"/>
        <v>500K-2M</v>
      </c>
    </row>
    <row r="427" spans="4:18">
      <c r="D427" s="25" t="s">
        <v>534</v>
      </c>
      <c r="E427" s="25" t="s">
        <v>535</v>
      </c>
      <c r="F427" s="25" t="s">
        <v>874</v>
      </c>
      <c r="G427" s="26">
        <v>45813</v>
      </c>
      <c r="H427" s="26">
        <v>46090</v>
      </c>
      <c r="I427" s="37">
        <v>562262</v>
      </c>
      <c r="J427" s="25" t="s">
        <v>52</v>
      </c>
      <c r="K427" s="25" t="s">
        <v>56</v>
      </c>
      <c r="L427" s="25" t="s">
        <v>138</v>
      </c>
      <c r="M427" s="37">
        <v>3935834</v>
      </c>
      <c r="N427" s="34">
        <f t="shared" ca="1" si="30"/>
        <v>0</v>
      </c>
      <c r="O427" s="34" t="str">
        <f t="shared" ca="1" si="31"/>
        <v>Current</v>
      </c>
      <c r="P427" s="35">
        <f t="shared" si="32"/>
        <v>9.0181428450637418E-5</v>
      </c>
      <c r="Q427" s="36">
        <f t="shared" si="33"/>
        <v>0.14285714285714285</v>
      </c>
      <c r="R427" s="34" t="str">
        <f t="shared" si="34"/>
        <v>500K-2M</v>
      </c>
    </row>
    <row r="428" spans="4:18">
      <c r="D428" s="25" t="s">
        <v>370</v>
      </c>
      <c r="E428" s="25" t="s">
        <v>371</v>
      </c>
      <c r="F428" s="25" t="s">
        <v>875</v>
      </c>
      <c r="G428" s="26">
        <v>45952</v>
      </c>
      <c r="H428" s="26">
        <v>46040</v>
      </c>
      <c r="I428" s="37">
        <v>4663017</v>
      </c>
      <c r="J428" s="25" t="s">
        <v>99</v>
      </c>
      <c r="K428" s="25" t="s">
        <v>109</v>
      </c>
      <c r="L428" s="25" t="s">
        <v>114</v>
      </c>
      <c r="M428" s="37">
        <v>46630170</v>
      </c>
      <c r="N428" s="34">
        <f t="shared" ca="1" si="30"/>
        <v>43</v>
      </c>
      <c r="O428" s="34" t="str">
        <f t="shared" ca="1" si="31"/>
        <v>31-60</v>
      </c>
      <c r="P428" s="35">
        <f t="shared" si="32"/>
        <v>7.4790317316412265E-4</v>
      </c>
      <c r="Q428" s="36">
        <f t="shared" si="33"/>
        <v>0.1</v>
      </c>
      <c r="R428" s="34" t="str">
        <f t="shared" si="34"/>
        <v>2M-5M</v>
      </c>
    </row>
    <row r="429" spans="4:18">
      <c r="D429" s="25" t="s">
        <v>443</v>
      </c>
      <c r="E429" s="25" t="s">
        <v>444</v>
      </c>
      <c r="F429" s="25" t="s">
        <v>876</v>
      </c>
      <c r="G429" s="26">
        <v>45722</v>
      </c>
      <c r="H429" s="26">
        <v>46057</v>
      </c>
      <c r="I429" s="37">
        <v>5303517</v>
      </c>
      <c r="J429" s="25" t="s">
        <v>52</v>
      </c>
      <c r="K429" s="25" t="s">
        <v>56</v>
      </c>
      <c r="L429" s="25" t="s">
        <v>114</v>
      </c>
      <c r="M429" s="37">
        <v>15910551</v>
      </c>
      <c r="N429" s="34">
        <f t="shared" ca="1" si="30"/>
        <v>26</v>
      </c>
      <c r="O429" s="34" t="str">
        <f t="shared" ca="1" si="31"/>
        <v>1-30</v>
      </c>
      <c r="P429" s="35">
        <f t="shared" si="32"/>
        <v>8.5063322592001452E-4</v>
      </c>
      <c r="Q429" s="36">
        <f t="shared" si="33"/>
        <v>0.33333333333333331</v>
      </c>
      <c r="R429" s="34" t="str">
        <f t="shared" si="34"/>
        <v>&gt;5M</v>
      </c>
    </row>
    <row r="430" spans="4:18">
      <c r="D430" s="25" t="s">
        <v>159</v>
      </c>
      <c r="E430" s="25" t="s">
        <v>160</v>
      </c>
      <c r="F430" s="25" t="s">
        <v>877</v>
      </c>
      <c r="G430" s="26">
        <v>45987</v>
      </c>
      <c r="H430" s="26">
        <v>45973</v>
      </c>
      <c r="I430" s="37">
        <v>1882020</v>
      </c>
      <c r="J430" s="25" t="s">
        <v>99</v>
      </c>
      <c r="K430" s="25" t="s">
        <v>89</v>
      </c>
      <c r="L430" s="25" t="s">
        <v>90</v>
      </c>
      <c r="M430" s="37">
        <v>13174140</v>
      </c>
      <c r="N430" s="34">
        <f t="shared" ca="1" si="30"/>
        <v>110</v>
      </c>
      <c r="O430" s="34" t="str">
        <f t="shared" ca="1" si="31"/>
        <v>90+</v>
      </c>
      <c r="P430" s="35">
        <f t="shared" si="32"/>
        <v>3.0185794517977141E-4</v>
      </c>
      <c r="Q430" s="36">
        <f t="shared" si="33"/>
        <v>0.14285714285714285</v>
      </c>
      <c r="R430" s="34" t="str">
        <f t="shared" si="34"/>
        <v>500K-2M</v>
      </c>
    </row>
    <row r="431" spans="4:18">
      <c r="D431" s="25" t="s">
        <v>205</v>
      </c>
      <c r="E431" s="25" t="s">
        <v>206</v>
      </c>
      <c r="F431" s="25" t="s">
        <v>878</v>
      </c>
      <c r="G431" s="26">
        <v>45851</v>
      </c>
      <c r="H431" s="26">
        <v>45966</v>
      </c>
      <c r="I431" s="37">
        <v>225829</v>
      </c>
      <c r="J431" s="25" t="s">
        <v>52</v>
      </c>
      <c r="K431" s="25" t="s">
        <v>125</v>
      </c>
      <c r="L431" s="25" t="s">
        <v>110</v>
      </c>
      <c r="M431" s="37">
        <v>2258290</v>
      </c>
      <c r="N431" s="34">
        <f t="shared" ca="1" si="30"/>
        <v>117</v>
      </c>
      <c r="O431" s="34" t="str">
        <f t="shared" ca="1" si="31"/>
        <v>90+</v>
      </c>
      <c r="P431" s="35">
        <f t="shared" si="32"/>
        <v>3.622080419018002E-5</v>
      </c>
      <c r="Q431" s="36">
        <f t="shared" si="33"/>
        <v>0.1</v>
      </c>
      <c r="R431" s="34" t="str">
        <f t="shared" si="34"/>
        <v>&lt;500K</v>
      </c>
    </row>
    <row r="432" spans="4:18">
      <c r="D432" s="25" t="s">
        <v>215</v>
      </c>
      <c r="E432" s="25" t="s">
        <v>216</v>
      </c>
      <c r="F432" s="25" t="s">
        <v>879</v>
      </c>
      <c r="G432" s="26">
        <v>45881</v>
      </c>
      <c r="H432" s="26">
        <v>46124</v>
      </c>
      <c r="I432" s="37">
        <v>2228950</v>
      </c>
      <c r="J432" s="25" t="s">
        <v>133</v>
      </c>
      <c r="K432" s="25" t="s">
        <v>125</v>
      </c>
      <c r="L432" s="25" t="s">
        <v>110</v>
      </c>
      <c r="M432" s="37">
        <v>22289500</v>
      </c>
      <c r="N432" s="34">
        <f t="shared" ca="1" si="30"/>
        <v>0</v>
      </c>
      <c r="O432" s="34" t="str">
        <f t="shared" ca="1" si="31"/>
        <v>Current</v>
      </c>
      <c r="P432" s="35">
        <f t="shared" si="32"/>
        <v>3.5750218749452793E-4</v>
      </c>
      <c r="Q432" s="36">
        <f t="shared" si="33"/>
        <v>0.1</v>
      </c>
      <c r="R432" s="34" t="str">
        <f t="shared" si="34"/>
        <v>2M-5M</v>
      </c>
    </row>
    <row r="433" spans="4:18">
      <c r="D433" s="25" t="s">
        <v>195</v>
      </c>
      <c r="E433" s="25" t="s">
        <v>196</v>
      </c>
      <c r="F433" s="25" t="s">
        <v>880</v>
      </c>
      <c r="G433" s="26">
        <v>45848</v>
      </c>
      <c r="H433" s="26">
        <v>46081</v>
      </c>
      <c r="I433" s="37">
        <v>5464794</v>
      </c>
      <c r="J433" s="25" t="s">
        <v>52</v>
      </c>
      <c r="K433" s="25" t="s">
        <v>109</v>
      </c>
      <c r="L433" s="25" t="s">
        <v>95</v>
      </c>
      <c r="M433" s="37">
        <v>49183146</v>
      </c>
      <c r="N433" s="34">
        <f t="shared" ca="1" si="30"/>
        <v>2</v>
      </c>
      <c r="O433" s="34" t="str">
        <f t="shared" ca="1" si="31"/>
        <v>1-30</v>
      </c>
      <c r="P433" s="35">
        <f t="shared" si="32"/>
        <v>8.7650050885258583E-4</v>
      </c>
      <c r="Q433" s="36">
        <f t="shared" si="33"/>
        <v>0.1111111111111111</v>
      </c>
      <c r="R433" s="34" t="str">
        <f t="shared" si="34"/>
        <v>&gt;5M</v>
      </c>
    </row>
    <row r="434" spans="4:18">
      <c r="D434" s="25" t="s">
        <v>495</v>
      </c>
      <c r="E434" s="25" t="s">
        <v>496</v>
      </c>
      <c r="F434" s="25" t="s">
        <v>881</v>
      </c>
      <c r="G434" s="26">
        <v>45922</v>
      </c>
      <c r="H434" s="26">
        <v>46034</v>
      </c>
      <c r="I434" s="37">
        <v>5752335</v>
      </c>
      <c r="J434" s="25" t="s">
        <v>52</v>
      </c>
      <c r="K434" s="25" t="s">
        <v>89</v>
      </c>
      <c r="L434" s="25" t="s">
        <v>114</v>
      </c>
      <c r="M434" s="37">
        <v>17257005</v>
      </c>
      <c r="N434" s="34">
        <f t="shared" ca="1" si="30"/>
        <v>49</v>
      </c>
      <c r="O434" s="34" t="str">
        <f t="shared" ca="1" si="31"/>
        <v>31-60</v>
      </c>
      <c r="P434" s="35">
        <f t="shared" si="32"/>
        <v>9.2261932555747568E-4</v>
      </c>
      <c r="Q434" s="36">
        <f t="shared" si="33"/>
        <v>0.33333333333333331</v>
      </c>
      <c r="R434" s="34" t="str">
        <f t="shared" si="34"/>
        <v>&gt;5M</v>
      </c>
    </row>
    <row r="435" spans="4:18">
      <c r="D435" s="25" t="s">
        <v>419</v>
      </c>
      <c r="E435" s="25" t="s">
        <v>420</v>
      </c>
      <c r="F435" s="25" t="s">
        <v>882</v>
      </c>
      <c r="G435" s="26">
        <v>45743</v>
      </c>
      <c r="H435" s="26">
        <v>46088</v>
      </c>
      <c r="I435" s="37">
        <v>4224806</v>
      </c>
      <c r="J435" s="25" t="s">
        <v>52</v>
      </c>
      <c r="K435" s="25" t="s">
        <v>125</v>
      </c>
      <c r="L435" s="25" t="s">
        <v>95</v>
      </c>
      <c r="M435" s="37">
        <v>29573642</v>
      </c>
      <c r="N435" s="34">
        <f t="shared" ca="1" si="30"/>
        <v>0</v>
      </c>
      <c r="O435" s="34" t="str">
        <f t="shared" ca="1" si="31"/>
        <v>Current</v>
      </c>
      <c r="P435" s="35">
        <f t="shared" si="32"/>
        <v>6.7761833452522778E-4</v>
      </c>
      <c r="Q435" s="36">
        <f t="shared" si="33"/>
        <v>0.14285714285714285</v>
      </c>
      <c r="R435" s="34" t="str">
        <f t="shared" si="34"/>
        <v>2M-5M</v>
      </c>
    </row>
    <row r="436" spans="4:18">
      <c r="D436" s="25" t="s">
        <v>186</v>
      </c>
      <c r="E436" s="25" t="s">
        <v>187</v>
      </c>
      <c r="F436" s="25" t="s">
        <v>883</v>
      </c>
      <c r="G436" s="26">
        <v>45822</v>
      </c>
      <c r="H436" s="26">
        <v>45941</v>
      </c>
      <c r="I436" s="37">
        <v>1000000000</v>
      </c>
      <c r="J436" s="25" t="s">
        <v>133</v>
      </c>
      <c r="K436" s="25" t="s">
        <v>94</v>
      </c>
      <c r="L436" s="25" t="s">
        <v>121</v>
      </c>
      <c r="M436" s="37">
        <v>3000000000</v>
      </c>
      <c r="N436" s="34">
        <f t="shared" ca="1" si="30"/>
        <v>142</v>
      </c>
      <c r="O436" s="34" t="str">
        <f t="shared" ca="1" si="31"/>
        <v>90+</v>
      </c>
      <c r="P436" s="35">
        <f t="shared" si="32"/>
        <v>0.1603904024291832</v>
      </c>
      <c r="Q436" s="36">
        <f t="shared" si="33"/>
        <v>0.33333333333333331</v>
      </c>
      <c r="R436" s="34" t="str">
        <f t="shared" si="34"/>
        <v>&gt;5M</v>
      </c>
    </row>
    <row r="437" spans="4:18">
      <c r="D437" s="25" t="s">
        <v>884</v>
      </c>
      <c r="E437" s="25" t="s">
        <v>885</v>
      </c>
      <c r="F437" s="25" t="s">
        <v>886</v>
      </c>
      <c r="G437" s="26">
        <v>45937</v>
      </c>
      <c r="H437" s="26">
        <v>46080</v>
      </c>
      <c r="I437" s="37">
        <v>2555521</v>
      </c>
      <c r="J437" s="25" t="s">
        <v>52</v>
      </c>
      <c r="K437" s="25" t="s">
        <v>125</v>
      </c>
      <c r="L437" s="25" t="s">
        <v>121</v>
      </c>
      <c r="M437" s="37">
        <v>22999689</v>
      </c>
      <c r="N437" s="34">
        <f t="shared" ca="1" si="30"/>
        <v>3</v>
      </c>
      <c r="O437" s="34" t="str">
        <f t="shared" ca="1" si="31"/>
        <v>1-30</v>
      </c>
      <c r="P437" s="35">
        <f t="shared" si="32"/>
        <v>4.0988104160622873E-4</v>
      </c>
      <c r="Q437" s="36">
        <f t="shared" si="33"/>
        <v>0.1111111111111111</v>
      </c>
      <c r="R437" s="34" t="str">
        <f t="shared" si="34"/>
        <v>2M-5M</v>
      </c>
    </row>
    <row r="438" spans="4:18">
      <c r="D438" s="25" t="s">
        <v>767</v>
      </c>
      <c r="E438" s="25" t="s">
        <v>768</v>
      </c>
      <c r="F438" s="25" t="s">
        <v>887</v>
      </c>
      <c r="G438" s="26">
        <v>45968</v>
      </c>
      <c r="H438" s="26">
        <v>46122</v>
      </c>
      <c r="I438" s="37">
        <v>670000000</v>
      </c>
      <c r="J438" s="25" t="s">
        <v>52</v>
      </c>
      <c r="K438" s="25" t="s">
        <v>109</v>
      </c>
      <c r="L438" s="25" t="s">
        <v>121</v>
      </c>
      <c r="M438" s="37">
        <v>6030000000</v>
      </c>
      <c r="N438" s="34">
        <f t="shared" ca="1" si="30"/>
        <v>0</v>
      </c>
      <c r="O438" s="34" t="str">
        <f t="shared" ca="1" si="31"/>
        <v>Current</v>
      </c>
      <c r="P438" s="35">
        <f t="shared" si="32"/>
        <v>0.10746156962755275</v>
      </c>
      <c r="Q438" s="36">
        <f t="shared" si="33"/>
        <v>0.1111111111111111</v>
      </c>
      <c r="R438" s="34" t="str">
        <f t="shared" si="34"/>
        <v>&gt;5M</v>
      </c>
    </row>
  </sheetData>
  <mergeCells count="1">
    <mergeCell ref="D3:M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DC29-5ABA-424C-B992-A9B3AD40AD35}">
  <dimension ref="B4:O34"/>
  <sheetViews>
    <sheetView showGridLines="0" zoomScale="80" zoomScaleNormal="80" workbookViewId="0">
      <selection activeCell="L30" sqref="L30:L34"/>
    </sheetView>
  </sheetViews>
  <sheetFormatPr defaultColWidth="9" defaultRowHeight="15"/>
  <cols>
    <col min="1" max="2" width="9" style="3"/>
    <col min="3" max="3" width="13" style="3" bestFit="1" customWidth="1"/>
    <col min="4" max="4" width="24.7109375" style="3" bestFit="1" customWidth="1"/>
    <col min="5" max="5" width="9" style="3"/>
    <col min="6" max="6" width="13.42578125" style="3" customWidth="1"/>
    <col min="7" max="7" width="24.7109375" style="3" bestFit="1" customWidth="1"/>
    <col min="8" max="10" width="9" style="3"/>
    <col min="11" max="11" width="13" style="3" bestFit="1" customWidth="1"/>
    <col min="12" max="12" width="16.85546875" style="3" bestFit="1" customWidth="1"/>
    <col min="13" max="13" width="20" style="3" bestFit="1" customWidth="1"/>
    <col min="14" max="16384" width="9" style="3"/>
  </cols>
  <sheetData>
    <row r="4" spans="2:15">
      <c r="B4" s="3">
        <v>1</v>
      </c>
      <c r="C4" s="2" t="s">
        <v>888</v>
      </c>
    </row>
    <row r="6" spans="2:15">
      <c r="J6" s="41" t="s">
        <v>889</v>
      </c>
      <c r="K6" s="41"/>
      <c r="L6" s="41"/>
      <c r="M6" s="41"/>
      <c r="N6" s="41"/>
      <c r="O6" s="41"/>
    </row>
    <row r="7" spans="2:15">
      <c r="J7" s="41"/>
      <c r="K7" s="41"/>
      <c r="L7" s="41"/>
      <c r="M7" s="41"/>
      <c r="N7" s="41"/>
      <c r="O7" s="41"/>
    </row>
    <row r="8" spans="2:15">
      <c r="J8" s="41"/>
      <c r="K8" s="41"/>
      <c r="L8" s="41"/>
      <c r="M8" s="41"/>
      <c r="N8" s="41"/>
      <c r="O8" s="41"/>
    </row>
    <row r="9" spans="2:15">
      <c r="B9" s="3">
        <v>2</v>
      </c>
      <c r="C9" s="2" t="s">
        <v>890</v>
      </c>
    </row>
    <row r="11" spans="2:15">
      <c r="C11" s="38" t="s">
        <v>891</v>
      </c>
      <c r="D11" s="3" t="s">
        <v>892</v>
      </c>
      <c r="F11" s="38" t="s">
        <v>891</v>
      </c>
      <c r="G11" s="3" t="s">
        <v>893</v>
      </c>
    </row>
    <row r="12" spans="2:15">
      <c r="C12" s="18" t="s">
        <v>894</v>
      </c>
      <c r="D12" s="39">
        <v>249206509</v>
      </c>
      <c r="F12" s="18" t="s">
        <v>109</v>
      </c>
      <c r="G12" s="39">
        <v>3163404513</v>
      </c>
    </row>
    <row r="13" spans="2:15">
      <c r="C13" s="18" t="s">
        <v>895</v>
      </c>
      <c r="D13" s="39">
        <v>1895773951</v>
      </c>
      <c r="F13" s="18" t="s">
        <v>125</v>
      </c>
      <c r="G13" s="39">
        <v>447840616</v>
      </c>
    </row>
    <row r="14" spans="2:15">
      <c r="C14" s="18" t="s">
        <v>896</v>
      </c>
      <c r="D14" s="39">
        <v>249973198</v>
      </c>
      <c r="F14" s="18" t="s">
        <v>134</v>
      </c>
      <c r="G14" s="39">
        <v>314929395</v>
      </c>
    </row>
    <row r="15" spans="2:15">
      <c r="C15" s="18" t="s">
        <v>897</v>
      </c>
      <c r="D15" s="39">
        <v>1929080135</v>
      </c>
      <c r="F15" s="18" t="s">
        <v>89</v>
      </c>
      <c r="G15" s="39">
        <v>339032098</v>
      </c>
      <c r="K15" s="3" t="s">
        <v>898</v>
      </c>
    </row>
    <row r="16" spans="2:15">
      <c r="C16" s="18" t="s">
        <v>899</v>
      </c>
      <c r="D16" s="39">
        <v>1910753232</v>
      </c>
      <c r="F16" s="18" t="s">
        <v>56</v>
      </c>
      <c r="G16" s="39">
        <v>681378207</v>
      </c>
      <c r="K16" s="38" t="s">
        <v>891</v>
      </c>
      <c r="L16" s="3" t="s">
        <v>892</v>
      </c>
      <c r="M16" s="3" t="s">
        <v>900</v>
      </c>
    </row>
    <row r="17" spans="2:13">
      <c r="C17" s="18" t="s">
        <v>901</v>
      </c>
      <c r="D17" s="39">
        <v>6234787025</v>
      </c>
      <c r="F17" s="18" t="s">
        <v>94</v>
      </c>
      <c r="G17" s="39">
        <v>1288202196</v>
      </c>
      <c r="K17" s="18" t="s">
        <v>894</v>
      </c>
      <c r="L17" s="39">
        <v>249206509</v>
      </c>
      <c r="M17" s="42">
        <v>3.9970332266481869E-2</v>
      </c>
    </row>
    <row r="18" spans="2:13">
      <c r="F18" s="18" t="s">
        <v>901</v>
      </c>
      <c r="G18" s="39">
        <v>6234787025</v>
      </c>
      <c r="K18" s="18" t="s">
        <v>895</v>
      </c>
      <c r="L18" s="39">
        <v>1895773951</v>
      </c>
      <c r="M18" s="42">
        <v>0.30406394691565264</v>
      </c>
    </row>
    <row r="19" spans="2:13">
      <c r="K19" s="18" t="s">
        <v>896</v>
      </c>
      <c r="L19" s="39">
        <v>249973198</v>
      </c>
      <c r="M19" s="42">
        <v>4.0093301823729888E-2</v>
      </c>
    </row>
    <row r="20" spans="2:13">
      <c r="K20" s="18" t="s">
        <v>897</v>
      </c>
      <c r="L20" s="39">
        <v>1929080135</v>
      </c>
      <c r="M20" s="42">
        <v>0.30940593917079307</v>
      </c>
    </row>
    <row r="21" spans="2:13">
      <c r="B21" s="2">
        <v>3</v>
      </c>
      <c r="C21" s="2" t="s">
        <v>902</v>
      </c>
      <c r="K21" s="18" t="s">
        <v>899</v>
      </c>
      <c r="L21" s="39">
        <v>1910753232</v>
      </c>
      <c r="M21" s="42">
        <v>0.30646647982334246</v>
      </c>
    </row>
    <row r="22" spans="2:13">
      <c r="C22" s="3" t="s">
        <v>903</v>
      </c>
      <c r="K22" s="18" t="s">
        <v>901</v>
      </c>
      <c r="L22" s="39">
        <v>6234787025</v>
      </c>
      <c r="M22" s="42">
        <v>1</v>
      </c>
    </row>
    <row r="24" spans="2:13">
      <c r="B24" s="3">
        <v>4</v>
      </c>
      <c r="C24" s="3" t="s">
        <v>904</v>
      </c>
      <c r="K24" s="3" t="s">
        <v>905</v>
      </c>
    </row>
    <row r="25" spans="2:13">
      <c r="K25" s="3" t="s">
        <v>906</v>
      </c>
    </row>
    <row r="26" spans="2:13">
      <c r="K26" s="3" t="s">
        <v>907</v>
      </c>
    </row>
    <row r="29" spans="2:13">
      <c r="K29" s="3" t="s">
        <v>891</v>
      </c>
      <c r="L29" s="3" t="s">
        <v>892</v>
      </c>
    </row>
    <row r="30" spans="2:13">
      <c r="K30" s="3" t="s">
        <v>899</v>
      </c>
      <c r="L30" s="47">
        <f>GETPIVOTDATA("Exposure",$K$16,"Aging Bucket","Current")</f>
        <v>1910753232</v>
      </c>
    </row>
    <row r="31" spans="2:13">
      <c r="K31" s="3" t="s">
        <v>894</v>
      </c>
      <c r="L31" s="47">
        <f>GETPIVOTDATA("Exposure",$K$16,"Aging Bucket","1-30")</f>
        <v>249206509</v>
      </c>
    </row>
    <row r="32" spans="2:13">
      <c r="K32" s="3" t="s">
        <v>895</v>
      </c>
      <c r="L32" s="47">
        <f>GETPIVOTDATA("Exposure",$K$16,"Aging Bucket","31-60")</f>
        <v>1895773951</v>
      </c>
    </row>
    <row r="33" spans="11:12">
      <c r="K33" s="3" t="s">
        <v>896</v>
      </c>
      <c r="L33" s="47">
        <f>GETPIVOTDATA("Exposure",$K$16,"Aging Bucket","61-90")</f>
        <v>249973198</v>
      </c>
    </row>
    <row r="34" spans="11:12">
      <c r="K34" s="3" t="s">
        <v>897</v>
      </c>
      <c r="L34" s="47">
        <f>GETPIVOTDATA("Exposure",$K$16,"Aging Bucket","90+")</f>
        <v>1929080135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0137-1093-43C0-9FBE-A19E18D93744}">
  <dimension ref="D3:O35"/>
  <sheetViews>
    <sheetView showGridLines="0" topLeftCell="A8" workbookViewId="0">
      <selection activeCell="O18" sqref="O18"/>
    </sheetView>
  </sheetViews>
  <sheetFormatPr defaultColWidth="9" defaultRowHeight="15"/>
  <cols>
    <col min="1" max="3" width="2.42578125" style="3" customWidth="1"/>
    <col min="4" max="4" width="23.140625" style="3" customWidth="1"/>
    <col min="5" max="5" width="16.42578125" style="3" bestFit="1" customWidth="1"/>
    <col min="6" max="6" width="14" style="3" customWidth="1"/>
    <col min="7" max="7" width="15.42578125" style="3" bestFit="1" customWidth="1"/>
    <col min="8" max="16384" width="9" style="3"/>
  </cols>
  <sheetData>
    <row r="3" spans="4:15">
      <c r="D3" s="81" t="s">
        <v>10</v>
      </c>
      <c r="E3" s="82"/>
      <c r="F3" s="82"/>
      <c r="G3" s="82"/>
      <c r="H3" s="82"/>
      <c r="I3" s="82"/>
      <c r="J3" s="82"/>
      <c r="K3" s="82"/>
      <c r="L3" s="82"/>
      <c r="M3" s="83"/>
    </row>
    <row r="4" spans="4:15">
      <c r="D4" s="84"/>
      <c r="E4" s="85"/>
      <c r="F4" s="85"/>
      <c r="G4" s="85"/>
      <c r="H4" s="85"/>
      <c r="I4" s="85"/>
      <c r="J4" s="85"/>
      <c r="K4" s="85"/>
      <c r="L4" s="85"/>
      <c r="M4" s="86"/>
    </row>
    <row r="6" spans="4:15">
      <c r="D6" s="7" t="s">
        <v>908</v>
      </c>
      <c r="E6" s="8"/>
      <c r="F6" s="8"/>
      <c r="G6" s="8"/>
      <c r="H6" s="8"/>
      <c r="I6" s="8"/>
      <c r="J6" s="8"/>
      <c r="K6" s="8"/>
      <c r="L6" s="8"/>
      <c r="M6" s="9"/>
    </row>
    <row r="7" spans="4:15" ht="51.75" customHeight="1">
      <c r="D7" s="87" t="s">
        <v>909</v>
      </c>
      <c r="E7" s="88"/>
      <c r="F7" s="88"/>
      <c r="G7" s="88"/>
      <c r="H7" s="88"/>
      <c r="I7" s="88"/>
      <c r="J7" s="88"/>
      <c r="K7" s="88"/>
      <c r="L7" s="88"/>
      <c r="M7" s="89"/>
    </row>
    <row r="10" spans="4:15">
      <c r="D10" s="7" t="s">
        <v>19</v>
      </c>
      <c r="E10" s="8"/>
      <c r="F10" s="8"/>
      <c r="G10" s="8"/>
      <c r="H10" s="8"/>
      <c r="I10" s="8"/>
      <c r="J10" s="8"/>
      <c r="K10" s="8"/>
      <c r="L10" s="8"/>
      <c r="M10" s="9"/>
    </row>
    <row r="11" spans="4:15">
      <c r="D11" s="14" t="s">
        <v>910</v>
      </c>
      <c r="E11" s="8"/>
      <c r="F11" s="8"/>
      <c r="G11" s="8"/>
      <c r="H11" s="8"/>
      <c r="I11" s="8"/>
      <c r="J11" s="8"/>
      <c r="K11" s="8"/>
      <c r="L11" s="8"/>
      <c r="M11" s="9"/>
    </row>
    <row r="12" spans="4:15">
      <c r="D12" s="13"/>
    </row>
    <row r="13" spans="4:15">
      <c r="D13" s="19" t="s">
        <v>21</v>
      </c>
      <c r="E13" s="20" t="s">
        <v>22</v>
      </c>
      <c r="F13" s="20" t="s">
        <v>23</v>
      </c>
      <c r="G13" s="20" t="s">
        <v>24</v>
      </c>
    </row>
    <row r="14" spans="4:15">
      <c r="D14" s="21" t="s">
        <v>25</v>
      </c>
      <c r="E14" s="22" t="s">
        <v>911</v>
      </c>
      <c r="F14" s="22" t="s">
        <v>727</v>
      </c>
      <c r="G14" s="22" t="s">
        <v>53</v>
      </c>
      <c r="O14" s="2" t="s">
        <v>29</v>
      </c>
    </row>
    <row r="15" spans="4:15">
      <c r="D15" s="21" t="s">
        <v>35</v>
      </c>
      <c r="E15" s="22" t="s">
        <v>36</v>
      </c>
      <c r="F15" s="22" t="s">
        <v>912</v>
      </c>
      <c r="G15" s="22" t="s">
        <v>38</v>
      </c>
      <c r="O15" s="3" t="s">
        <v>913</v>
      </c>
    </row>
    <row r="16" spans="4:15">
      <c r="D16" s="21" t="s">
        <v>914</v>
      </c>
      <c r="E16" s="22" t="s">
        <v>915</v>
      </c>
      <c r="F16" s="24">
        <v>5000000</v>
      </c>
      <c r="G16" s="22" t="s">
        <v>892</v>
      </c>
      <c r="O16" s="3" t="s">
        <v>916</v>
      </c>
    </row>
    <row r="17" spans="4:15">
      <c r="D17" s="22" t="s">
        <v>917</v>
      </c>
      <c r="E17" s="22" t="s">
        <v>918</v>
      </c>
      <c r="F17" s="43">
        <v>4200000</v>
      </c>
      <c r="G17" s="22" t="s">
        <v>919</v>
      </c>
      <c r="O17" s="3" t="s">
        <v>920</v>
      </c>
    </row>
    <row r="18" spans="4:15">
      <c r="D18" s="22" t="s">
        <v>921</v>
      </c>
      <c r="E18" s="22" t="s">
        <v>922</v>
      </c>
      <c r="F18" s="23">
        <v>600000</v>
      </c>
      <c r="G18" s="22" t="s">
        <v>923</v>
      </c>
    </row>
    <row r="19" spans="4:15">
      <c r="D19" s="22" t="s">
        <v>924</v>
      </c>
      <c r="E19" s="22" t="s">
        <v>925</v>
      </c>
      <c r="F19" s="24">
        <v>45301</v>
      </c>
      <c r="G19" s="22" t="s">
        <v>926</v>
      </c>
    </row>
    <row r="20" spans="4:15">
      <c r="D20" s="22" t="s">
        <v>50</v>
      </c>
      <c r="E20" s="22" t="s">
        <v>51</v>
      </c>
      <c r="F20" s="22" t="s">
        <v>52</v>
      </c>
      <c r="G20" s="22" t="s">
        <v>927</v>
      </c>
    </row>
    <row r="21" spans="4:15">
      <c r="D21" s="22" t="s">
        <v>54</v>
      </c>
      <c r="E21" s="22" t="s">
        <v>928</v>
      </c>
      <c r="F21" s="22" t="s">
        <v>56</v>
      </c>
      <c r="G21" s="22" t="s">
        <v>927</v>
      </c>
    </row>
    <row r="22" spans="4:15">
      <c r="D22" s="22" t="s">
        <v>58</v>
      </c>
      <c r="E22" s="22" t="s">
        <v>929</v>
      </c>
      <c r="F22" s="22" t="s">
        <v>60</v>
      </c>
      <c r="G22" s="22" t="s">
        <v>927</v>
      </c>
    </row>
    <row r="23" spans="4:15">
      <c r="D23" s="22" t="s">
        <v>930</v>
      </c>
      <c r="E23" s="22" t="s">
        <v>931</v>
      </c>
      <c r="F23" s="22">
        <v>210</v>
      </c>
      <c r="G23" s="22" t="s">
        <v>932</v>
      </c>
    </row>
    <row r="26" spans="4:15">
      <c r="D26" s="7" t="s">
        <v>70</v>
      </c>
      <c r="E26" s="8"/>
      <c r="F26" s="8"/>
      <c r="G26" s="8"/>
      <c r="H26" s="8"/>
      <c r="I26" s="8"/>
      <c r="J26" s="8"/>
      <c r="K26" s="8"/>
      <c r="L26" s="8"/>
      <c r="M26" s="9"/>
    </row>
    <row r="27" spans="4:15">
      <c r="D27" s="14"/>
      <c r="E27" s="8"/>
      <c r="F27" s="8"/>
      <c r="G27" s="8"/>
      <c r="H27" s="8"/>
      <c r="I27" s="8"/>
      <c r="J27" s="8"/>
      <c r="K27" s="8"/>
      <c r="L27" s="8"/>
      <c r="M27" s="9"/>
    </row>
    <row r="29" spans="4:15">
      <c r="D29" s="19" t="s">
        <v>21</v>
      </c>
      <c r="E29" s="20" t="s">
        <v>71</v>
      </c>
      <c r="F29" s="20" t="s">
        <v>72</v>
      </c>
    </row>
    <row r="30" spans="4:15">
      <c r="D30" s="21" t="s">
        <v>933</v>
      </c>
      <c r="E30" s="22" t="s">
        <v>934</v>
      </c>
      <c r="F30" s="22" t="s">
        <v>935</v>
      </c>
    </row>
    <row r="31" spans="4:15">
      <c r="D31" s="21" t="s">
        <v>936</v>
      </c>
      <c r="E31" s="22" t="s">
        <v>937</v>
      </c>
      <c r="F31" s="22" t="s">
        <v>935</v>
      </c>
    </row>
    <row r="32" spans="4:15">
      <c r="D32" s="21" t="s">
        <v>73</v>
      </c>
      <c r="E32" s="22"/>
      <c r="F32" s="22"/>
    </row>
    <row r="34" spans="4:13">
      <c r="D34" s="7" t="s">
        <v>938</v>
      </c>
      <c r="E34" s="8"/>
      <c r="F34" s="8"/>
      <c r="G34" s="8"/>
      <c r="H34" s="8"/>
      <c r="I34" s="8"/>
      <c r="J34" s="8"/>
      <c r="K34" s="8"/>
      <c r="L34" s="8"/>
      <c r="M34" s="9"/>
    </row>
    <row r="35" spans="4:13">
      <c r="D35" s="14"/>
      <c r="E35" s="8"/>
      <c r="F35" s="8"/>
      <c r="G35" s="8"/>
      <c r="H35" s="8"/>
      <c r="I35" s="8"/>
      <c r="J35" s="8"/>
      <c r="K35" s="8"/>
      <c r="L35" s="8"/>
      <c r="M35" s="9"/>
    </row>
  </sheetData>
  <mergeCells count="2">
    <mergeCell ref="D3:M4"/>
    <mergeCell ref="D7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19B3-F698-453D-B8F1-C263D8A8390D}">
  <dimension ref="D3:P439"/>
  <sheetViews>
    <sheetView showGridLines="0" topLeftCell="E395" zoomScale="80" zoomScaleNormal="80" workbookViewId="0">
      <selection activeCell="O8" sqref="O8"/>
    </sheetView>
  </sheetViews>
  <sheetFormatPr defaultColWidth="9" defaultRowHeight="15"/>
  <cols>
    <col min="1" max="3" width="2.42578125" style="3" customWidth="1"/>
    <col min="4" max="12" width="20" style="3" customWidth="1"/>
    <col min="13" max="13" width="21.140625" style="3" bestFit="1" customWidth="1"/>
    <col min="14" max="14" width="21.140625" style="3" customWidth="1"/>
    <col min="15" max="16" width="20" style="3" customWidth="1"/>
    <col min="17" max="16384" width="9" style="3"/>
  </cols>
  <sheetData>
    <row r="3" spans="4:16" ht="21">
      <c r="D3" s="81" t="s">
        <v>939</v>
      </c>
      <c r="E3" s="82"/>
      <c r="F3" s="82"/>
      <c r="G3" s="82"/>
      <c r="H3" s="82"/>
      <c r="I3" s="82"/>
      <c r="J3" s="82"/>
      <c r="K3" s="82"/>
      <c r="L3" s="82"/>
      <c r="M3" s="83"/>
      <c r="N3" s="46"/>
    </row>
    <row r="4" spans="4:16" ht="21">
      <c r="D4" s="84"/>
      <c r="E4" s="85"/>
      <c r="F4" s="85"/>
      <c r="G4" s="85"/>
      <c r="H4" s="85"/>
      <c r="I4" s="85"/>
      <c r="J4" s="85"/>
      <c r="K4" s="85"/>
      <c r="L4" s="85"/>
      <c r="M4" s="86"/>
      <c r="N4" s="46"/>
    </row>
    <row r="6" spans="4:16">
      <c r="D6" s="2" t="s">
        <v>940</v>
      </c>
    </row>
    <row r="7" spans="4:16">
      <c r="D7" s="28" t="s">
        <v>25</v>
      </c>
      <c r="E7" s="28" t="s">
        <v>35</v>
      </c>
      <c r="F7" s="28" t="s">
        <v>914</v>
      </c>
      <c r="G7" s="29" t="s">
        <v>917</v>
      </c>
      <c r="H7" s="29" t="s">
        <v>921</v>
      </c>
      <c r="I7" s="29" t="s">
        <v>924</v>
      </c>
      <c r="J7" s="29" t="s">
        <v>50</v>
      </c>
      <c r="K7" s="29" t="s">
        <v>54</v>
      </c>
      <c r="L7" s="29" t="s">
        <v>58</v>
      </c>
      <c r="M7" s="29" t="s">
        <v>930</v>
      </c>
      <c r="N7" s="33" t="s">
        <v>76</v>
      </c>
      <c r="O7" s="33" t="s">
        <v>933</v>
      </c>
      <c r="P7" s="33" t="s">
        <v>941</v>
      </c>
    </row>
    <row r="8" spans="4:16">
      <c r="D8" s="25" t="s">
        <v>942</v>
      </c>
      <c r="E8" s="25" t="s">
        <v>943</v>
      </c>
      <c r="F8" s="27">
        <v>155157121</v>
      </c>
      <c r="G8" s="27">
        <v>54304992.350000001</v>
      </c>
      <c r="H8" s="27">
        <v>23894196.634</v>
      </c>
      <c r="I8" s="44">
        <v>45627</v>
      </c>
      <c r="J8" s="25" t="s">
        <v>52</v>
      </c>
      <c r="K8" s="25" t="s">
        <v>89</v>
      </c>
      <c r="L8" s="25" t="s">
        <v>90</v>
      </c>
      <c r="M8" s="45">
        <f ca="1">RANDBETWEEN(31,360)</f>
        <v>85</v>
      </c>
      <c r="N8" s="34" t="str">
        <f ca="1">IF(M8&lt;=0,"Current",
IF(M8&lt;=30,"1-30",
IF(M8&lt;=60,"31-60",
IF(M8&lt;=90,"61-90","90+"))))</f>
        <v>61-90</v>
      </c>
      <c r="O8" s="34">
        <f>H8/G8</f>
        <v>0.44</v>
      </c>
      <c r="P8" s="35">
        <f>1-O8</f>
        <v>0.56000000000000005</v>
      </c>
    </row>
    <row r="9" spans="4:16">
      <c r="D9" s="25" t="s">
        <v>944</v>
      </c>
      <c r="E9" s="25" t="s">
        <v>945</v>
      </c>
      <c r="F9" s="27">
        <v>58647713</v>
      </c>
      <c r="G9" s="27">
        <v>55715327.350000001</v>
      </c>
      <c r="H9" s="27">
        <v>1114306.547</v>
      </c>
      <c r="I9" s="44">
        <v>45658</v>
      </c>
      <c r="J9" s="25" t="s">
        <v>52</v>
      </c>
      <c r="K9" s="25" t="s">
        <v>94</v>
      </c>
      <c r="L9" s="25" t="s">
        <v>95</v>
      </c>
      <c r="M9" s="45">
        <f t="shared" ref="M9:M72" ca="1" si="0">RANDBETWEEN(31,360)</f>
        <v>167</v>
      </c>
      <c r="N9" s="34" t="str">
        <f t="shared" ref="N9:N72" ca="1" si="1">IF(M9&lt;=0,"Current",
IF(M9&lt;=30,"1-30",
IF(M9&lt;=60,"31-60",
IF(M9&lt;=90,"61-90","90+"))))</f>
        <v>90+</v>
      </c>
      <c r="O9" s="34">
        <f t="shared" ref="O9:O72" si="2">H9/G9</f>
        <v>0.02</v>
      </c>
      <c r="P9" s="35">
        <f t="shared" ref="P9:P72" si="3">1-O9</f>
        <v>0.98</v>
      </c>
    </row>
    <row r="10" spans="4:16">
      <c r="D10" s="25" t="s">
        <v>946</v>
      </c>
      <c r="E10" s="25" t="s">
        <v>947</v>
      </c>
      <c r="F10" s="27">
        <v>181787161</v>
      </c>
      <c r="G10" s="27">
        <v>125433141.09</v>
      </c>
      <c r="H10" s="27">
        <v>43901599.381500006</v>
      </c>
      <c r="I10" s="44">
        <v>45689</v>
      </c>
      <c r="J10" s="25" t="s">
        <v>99</v>
      </c>
      <c r="K10" s="25" t="s">
        <v>89</v>
      </c>
      <c r="L10" s="25" t="s">
        <v>90</v>
      </c>
      <c r="M10" s="45">
        <f t="shared" ca="1" si="0"/>
        <v>346</v>
      </c>
      <c r="N10" s="34" t="str">
        <f t="shared" ca="1" si="1"/>
        <v>90+</v>
      </c>
      <c r="O10" s="34">
        <f t="shared" si="2"/>
        <v>0.35000000000000003</v>
      </c>
      <c r="P10" s="35">
        <f t="shared" si="3"/>
        <v>0.64999999999999991</v>
      </c>
    </row>
    <row r="11" spans="4:16">
      <c r="D11" s="25" t="s">
        <v>948</v>
      </c>
      <c r="E11" s="25" t="s">
        <v>949</v>
      </c>
      <c r="F11" s="27">
        <v>36341554</v>
      </c>
      <c r="G11" s="27">
        <v>14900037.140000001</v>
      </c>
      <c r="H11" s="27">
        <v>1341003.3426000001</v>
      </c>
      <c r="I11" s="44">
        <v>45717</v>
      </c>
      <c r="J11" s="25" t="s">
        <v>52</v>
      </c>
      <c r="K11" s="25" t="s">
        <v>94</v>
      </c>
      <c r="L11" s="25" t="s">
        <v>95</v>
      </c>
      <c r="M11" s="45">
        <f t="shared" ca="1" si="0"/>
        <v>192</v>
      </c>
      <c r="N11" s="34" t="str">
        <f t="shared" ca="1" si="1"/>
        <v>90+</v>
      </c>
      <c r="O11" s="34">
        <f t="shared" si="2"/>
        <v>0.09</v>
      </c>
      <c r="P11" s="35">
        <f t="shared" si="3"/>
        <v>0.91</v>
      </c>
    </row>
    <row r="12" spans="4:16">
      <c r="D12" s="25" t="s">
        <v>950</v>
      </c>
      <c r="E12" s="25" t="s">
        <v>951</v>
      </c>
      <c r="F12" s="27">
        <v>62544476</v>
      </c>
      <c r="G12" s="27">
        <v>53162804.600000001</v>
      </c>
      <c r="H12" s="27">
        <v>21265121.84</v>
      </c>
      <c r="I12" s="44">
        <v>45748</v>
      </c>
      <c r="J12" s="25" t="s">
        <v>52</v>
      </c>
      <c r="K12" s="25" t="s">
        <v>89</v>
      </c>
      <c r="L12" s="25" t="s">
        <v>95</v>
      </c>
      <c r="M12" s="45">
        <f t="shared" ca="1" si="0"/>
        <v>294</v>
      </c>
      <c r="N12" s="34" t="str">
        <f t="shared" ca="1" si="1"/>
        <v>90+</v>
      </c>
      <c r="O12" s="34">
        <f t="shared" si="2"/>
        <v>0.39999999999999997</v>
      </c>
      <c r="P12" s="35">
        <f t="shared" si="3"/>
        <v>0.60000000000000009</v>
      </c>
    </row>
    <row r="13" spans="4:16">
      <c r="D13" s="25" t="s">
        <v>952</v>
      </c>
      <c r="E13" s="25" t="s">
        <v>953</v>
      </c>
      <c r="F13" s="27">
        <v>133810345</v>
      </c>
      <c r="G13" s="27">
        <v>65567069.049999997</v>
      </c>
      <c r="H13" s="27">
        <v>12457743.1195</v>
      </c>
      <c r="I13" s="44">
        <v>45778</v>
      </c>
      <c r="J13" s="25" t="s">
        <v>52</v>
      </c>
      <c r="K13" s="25" t="s">
        <v>109</v>
      </c>
      <c r="L13" s="25" t="s">
        <v>110</v>
      </c>
      <c r="M13" s="45">
        <f t="shared" ca="1" si="0"/>
        <v>133</v>
      </c>
      <c r="N13" s="34" t="str">
        <f t="shared" ca="1" si="1"/>
        <v>90+</v>
      </c>
      <c r="O13" s="34">
        <f t="shared" si="2"/>
        <v>0.19</v>
      </c>
      <c r="P13" s="35">
        <f t="shared" si="3"/>
        <v>0.81</v>
      </c>
    </row>
    <row r="14" spans="4:16">
      <c r="D14" s="25" t="s">
        <v>954</v>
      </c>
      <c r="E14" s="25" t="s">
        <v>955</v>
      </c>
      <c r="F14" s="27">
        <v>57293223</v>
      </c>
      <c r="G14" s="27">
        <v>50418036.240000002</v>
      </c>
      <c r="H14" s="27">
        <v>5041803.6240000008</v>
      </c>
      <c r="I14" s="44">
        <v>45809</v>
      </c>
      <c r="J14" s="25" t="s">
        <v>52</v>
      </c>
      <c r="K14" s="25" t="s">
        <v>89</v>
      </c>
      <c r="L14" s="25" t="s">
        <v>114</v>
      </c>
      <c r="M14" s="45">
        <f t="shared" ca="1" si="0"/>
        <v>54</v>
      </c>
      <c r="N14" s="34" t="str">
        <f t="shared" ca="1" si="1"/>
        <v>31-60</v>
      </c>
      <c r="O14" s="34">
        <f t="shared" si="2"/>
        <v>0.1</v>
      </c>
      <c r="P14" s="35">
        <f t="shared" si="3"/>
        <v>0.9</v>
      </c>
    </row>
    <row r="15" spans="4:16">
      <c r="D15" s="25" t="s">
        <v>956</v>
      </c>
      <c r="E15" s="25" t="s">
        <v>957</v>
      </c>
      <c r="F15" s="27">
        <v>113735516</v>
      </c>
      <c r="G15" s="27">
        <v>23884458.359999999</v>
      </c>
      <c r="H15" s="27">
        <v>477689.16719999997</v>
      </c>
      <c r="I15" s="44">
        <v>45839</v>
      </c>
      <c r="J15" s="25" t="s">
        <v>52</v>
      </c>
      <c r="K15" s="25" t="s">
        <v>89</v>
      </c>
      <c r="L15" s="25" t="s">
        <v>110</v>
      </c>
      <c r="M15" s="45">
        <f t="shared" ca="1" si="0"/>
        <v>66</v>
      </c>
      <c r="N15" s="34" t="str">
        <f t="shared" ca="1" si="1"/>
        <v>61-90</v>
      </c>
      <c r="O15" s="34">
        <f t="shared" si="2"/>
        <v>0.02</v>
      </c>
      <c r="P15" s="35">
        <f t="shared" si="3"/>
        <v>0.98</v>
      </c>
    </row>
    <row r="16" spans="4:16">
      <c r="D16" s="25" t="s">
        <v>958</v>
      </c>
      <c r="E16" s="25" t="s">
        <v>959</v>
      </c>
      <c r="F16" s="27">
        <v>73516834</v>
      </c>
      <c r="G16" s="27">
        <v>27201228.579999998</v>
      </c>
      <c r="H16" s="27">
        <v>16864761.719599999</v>
      </c>
      <c r="I16" s="44">
        <v>45870</v>
      </c>
      <c r="J16" s="25" t="s">
        <v>52</v>
      </c>
      <c r="K16" s="25" t="s">
        <v>109</v>
      </c>
      <c r="L16" s="25" t="s">
        <v>121</v>
      </c>
      <c r="M16" s="45">
        <f t="shared" ca="1" si="0"/>
        <v>289</v>
      </c>
      <c r="N16" s="34" t="str">
        <f t="shared" ca="1" si="1"/>
        <v>90+</v>
      </c>
      <c r="O16" s="34">
        <f t="shared" si="2"/>
        <v>0.62</v>
      </c>
      <c r="P16" s="35">
        <f t="shared" si="3"/>
        <v>0.38</v>
      </c>
    </row>
    <row r="17" spans="4:16">
      <c r="D17" s="25" t="s">
        <v>960</v>
      </c>
      <c r="E17" s="25" t="s">
        <v>961</v>
      </c>
      <c r="F17" s="27">
        <v>167972299</v>
      </c>
      <c r="G17" s="27">
        <v>50391689.700000003</v>
      </c>
      <c r="H17" s="27">
        <v>20156675.879999999</v>
      </c>
      <c r="I17" s="44">
        <v>45901</v>
      </c>
      <c r="J17" s="25" t="s">
        <v>52</v>
      </c>
      <c r="K17" s="25" t="s">
        <v>125</v>
      </c>
      <c r="L17" s="25" t="s">
        <v>114</v>
      </c>
      <c r="M17" s="45">
        <f t="shared" ca="1" si="0"/>
        <v>300</v>
      </c>
      <c r="N17" s="34" t="str">
        <f t="shared" ca="1" si="1"/>
        <v>90+</v>
      </c>
      <c r="O17" s="34">
        <f t="shared" si="2"/>
        <v>0.39999999999999997</v>
      </c>
      <c r="P17" s="35">
        <f t="shared" si="3"/>
        <v>0.60000000000000009</v>
      </c>
    </row>
    <row r="18" spans="4:16">
      <c r="D18" s="25" t="s">
        <v>962</v>
      </c>
      <c r="E18" s="25" t="s">
        <v>963</v>
      </c>
      <c r="F18" s="27">
        <v>65534370</v>
      </c>
      <c r="G18" s="27">
        <v>25558404.300000001</v>
      </c>
      <c r="H18" s="27">
        <v>766752.12900000007</v>
      </c>
      <c r="I18" s="44">
        <v>45931</v>
      </c>
      <c r="J18" s="25" t="s">
        <v>99</v>
      </c>
      <c r="K18" s="25" t="s">
        <v>109</v>
      </c>
      <c r="L18" s="25" t="s">
        <v>121</v>
      </c>
      <c r="M18" s="45">
        <f t="shared" ca="1" si="0"/>
        <v>133</v>
      </c>
      <c r="N18" s="34" t="str">
        <f t="shared" ca="1" si="1"/>
        <v>90+</v>
      </c>
      <c r="O18" s="34">
        <f t="shared" si="2"/>
        <v>3.0000000000000002E-2</v>
      </c>
      <c r="P18" s="35">
        <f t="shared" si="3"/>
        <v>0.97</v>
      </c>
    </row>
    <row r="19" spans="4:16">
      <c r="D19" s="25" t="s">
        <v>964</v>
      </c>
      <c r="E19" s="25" t="s">
        <v>965</v>
      </c>
      <c r="F19" s="27">
        <v>70918735</v>
      </c>
      <c r="G19" s="27">
        <v>41842053.649999999</v>
      </c>
      <c r="H19" s="27">
        <v>10878933.948999999</v>
      </c>
      <c r="I19" s="44">
        <v>45962</v>
      </c>
      <c r="J19" s="25" t="s">
        <v>99</v>
      </c>
      <c r="K19" s="25" t="s">
        <v>109</v>
      </c>
      <c r="L19" s="25" t="s">
        <v>90</v>
      </c>
      <c r="M19" s="45">
        <f t="shared" ca="1" si="0"/>
        <v>132</v>
      </c>
      <c r="N19" s="34" t="str">
        <f t="shared" ca="1" si="1"/>
        <v>90+</v>
      </c>
      <c r="O19" s="34">
        <f t="shared" si="2"/>
        <v>0.26</v>
      </c>
      <c r="P19" s="35">
        <f t="shared" si="3"/>
        <v>0.74</v>
      </c>
    </row>
    <row r="20" spans="4:16">
      <c r="D20" s="25" t="s">
        <v>966</v>
      </c>
      <c r="E20" s="25" t="s">
        <v>967</v>
      </c>
      <c r="F20" s="27">
        <v>160577450</v>
      </c>
      <c r="G20" s="27">
        <v>16057745</v>
      </c>
      <c r="H20" s="27">
        <v>2569239.2000000002</v>
      </c>
      <c r="I20" s="44">
        <v>45992</v>
      </c>
      <c r="J20" s="25" t="s">
        <v>133</v>
      </c>
      <c r="K20" s="25" t="s">
        <v>134</v>
      </c>
      <c r="L20" s="25" t="s">
        <v>114</v>
      </c>
      <c r="M20" s="45">
        <f t="shared" ca="1" si="0"/>
        <v>136</v>
      </c>
      <c r="N20" s="34" t="str">
        <f t="shared" ca="1" si="1"/>
        <v>90+</v>
      </c>
      <c r="O20" s="34">
        <f t="shared" si="2"/>
        <v>0.16</v>
      </c>
      <c r="P20" s="35">
        <f t="shared" si="3"/>
        <v>0.84</v>
      </c>
    </row>
    <row r="21" spans="4:16">
      <c r="D21" s="25" t="s">
        <v>968</v>
      </c>
      <c r="E21" s="25" t="s">
        <v>969</v>
      </c>
      <c r="F21" s="27">
        <v>101023201</v>
      </c>
      <c r="G21" s="27">
        <v>50511600.5</v>
      </c>
      <c r="H21" s="27">
        <v>22225104.219999999</v>
      </c>
      <c r="I21" s="44">
        <v>46023</v>
      </c>
      <c r="J21" s="25" t="s">
        <v>52</v>
      </c>
      <c r="K21" s="25" t="s">
        <v>109</v>
      </c>
      <c r="L21" s="25" t="s">
        <v>138</v>
      </c>
      <c r="M21" s="45">
        <f t="shared" ca="1" si="0"/>
        <v>300</v>
      </c>
      <c r="N21" s="34" t="str">
        <f t="shared" ca="1" si="1"/>
        <v>90+</v>
      </c>
      <c r="O21" s="34">
        <f t="shared" si="2"/>
        <v>0.44</v>
      </c>
      <c r="P21" s="35">
        <f t="shared" si="3"/>
        <v>0.56000000000000005</v>
      </c>
    </row>
    <row r="22" spans="4:16">
      <c r="D22" s="25" t="s">
        <v>970</v>
      </c>
      <c r="E22" s="25" t="s">
        <v>971</v>
      </c>
      <c r="F22" s="27">
        <v>33196104</v>
      </c>
      <c r="G22" s="27">
        <v>32532181.920000002</v>
      </c>
      <c r="H22" s="27">
        <v>16266090.960000001</v>
      </c>
      <c r="I22" s="44">
        <v>46054</v>
      </c>
      <c r="J22" s="25" t="s">
        <v>99</v>
      </c>
      <c r="K22" s="25" t="s">
        <v>94</v>
      </c>
      <c r="L22" s="25" t="s">
        <v>138</v>
      </c>
      <c r="M22" s="45">
        <f t="shared" ca="1" si="0"/>
        <v>108</v>
      </c>
      <c r="N22" s="34" t="str">
        <f t="shared" ca="1" si="1"/>
        <v>90+</v>
      </c>
      <c r="O22" s="34">
        <f t="shared" si="2"/>
        <v>0.5</v>
      </c>
      <c r="P22" s="35">
        <f t="shared" si="3"/>
        <v>0.5</v>
      </c>
    </row>
    <row r="23" spans="4:16">
      <c r="D23" s="25" t="s">
        <v>972</v>
      </c>
      <c r="E23" s="25" t="s">
        <v>973</v>
      </c>
      <c r="F23" s="27">
        <v>5122287</v>
      </c>
      <c r="G23" s="27">
        <v>1792800.45</v>
      </c>
      <c r="H23" s="27">
        <v>537840.13500000001</v>
      </c>
      <c r="I23" s="44">
        <v>46082</v>
      </c>
      <c r="J23" s="25" t="s">
        <v>99</v>
      </c>
      <c r="K23" s="25" t="s">
        <v>125</v>
      </c>
      <c r="L23" s="25" t="s">
        <v>90</v>
      </c>
      <c r="M23" s="45">
        <f t="shared" ca="1" si="0"/>
        <v>215</v>
      </c>
      <c r="N23" s="34" t="str">
        <f t="shared" ca="1" si="1"/>
        <v>90+</v>
      </c>
      <c r="O23" s="34">
        <f t="shared" si="2"/>
        <v>0.3</v>
      </c>
      <c r="P23" s="35">
        <f t="shared" si="3"/>
        <v>0.7</v>
      </c>
    </row>
    <row r="24" spans="4:16">
      <c r="D24" s="25" t="s">
        <v>974</v>
      </c>
      <c r="E24" s="25" t="s">
        <v>975</v>
      </c>
      <c r="F24" s="27">
        <v>25920163</v>
      </c>
      <c r="G24" s="27">
        <v>11664073.35</v>
      </c>
      <c r="H24" s="27">
        <v>5715395.9414999997</v>
      </c>
      <c r="I24" s="44">
        <v>46113</v>
      </c>
      <c r="J24" s="25" t="s">
        <v>52</v>
      </c>
      <c r="K24" s="25" t="s">
        <v>125</v>
      </c>
      <c r="L24" s="25" t="s">
        <v>138</v>
      </c>
      <c r="M24" s="45">
        <f t="shared" ca="1" si="0"/>
        <v>259</v>
      </c>
      <c r="N24" s="34" t="str">
        <f t="shared" ca="1" si="1"/>
        <v>90+</v>
      </c>
      <c r="O24" s="34">
        <f t="shared" si="2"/>
        <v>0.49</v>
      </c>
      <c r="P24" s="35">
        <f t="shared" si="3"/>
        <v>0.51</v>
      </c>
    </row>
    <row r="25" spans="4:16">
      <c r="D25" s="25" t="s">
        <v>976</v>
      </c>
      <c r="E25" s="25" t="s">
        <v>977</v>
      </c>
      <c r="F25" s="27">
        <v>157523877</v>
      </c>
      <c r="G25" s="27">
        <v>105540997.59</v>
      </c>
      <c r="H25" s="27">
        <v>54881318.746800005</v>
      </c>
      <c r="I25" s="44">
        <v>46143</v>
      </c>
      <c r="J25" s="25" t="s">
        <v>99</v>
      </c>
      <c r="K25" s="25" t="s">
        <v>89</v>
      </c>
      <c r="L25" s="25" t="s">
        <v>110</v>
      </c>
      <c r="M25" s="45">
        <f t="shared" ca="1" si="0"/>
        <v>252</v>
      </c>
      <c r="N25" s="34" t="str">
        <f t="shared" ca="1" si="1"/>
        <v>90+</v>
      </c>
      <c r="O25" s="34">
        <f t="shared" si="2"/>
        <v>0.52</v>
      </c>
      <c r="P25" s="35">
        <f t="shared" si="3"/>
        <v>0.48</v>
      </c>
    </row>
    <row r="26" spans="4:16">
      <c r="D26" s="25" t="s">
        <v>978</v>
      </c>
      <c r="E26" s="25" t="s">
        <v>979</v>
      </c>
      <c r="F26" s="27">
        <v>10787682</v>
      </c>
      <c r="G26" s="27">
        <v>1618152.3</v>
      </c>
      <c r="H26" s="27">
        <v>728168.53500000003</v>
      </c>
      <c r="I26" s="44">
        <v>46174</v>
      </c>
      <c r="J26" s="25" t="s">
        <v>52</v>
      </c>
      <c r="K26" s="25" t="s">
        <v>134</v>
      </c>
      <c r="L26" s="25" t="s">
        <v>90</v>
      </c>
      <c r="M26" s="45">
        <f t="shared" ca="1" si="0"/>
        <v>237</v>
      </c>
      <c r="N26" s="34" t="str">
        <f t="shared" ca="1" si="1"/>
        <v>90+</v>
      </c>
      <c r="O26" s="34">
        <f t="shared" si="2"/>
        <v>0.45</v>
      </c>
      <c r="P26" s="35">
        <f t="shared" si="3"/>
        <v>0.55000000000000004</v>
      </c>
    </row>
    <row r="27" spans="4:16">
      <c r="D27" s="25" t="s">
        <v>980</v>
      </c>
      <c r="E27" s="25" t="s">
        <v>981</v>
      </c>
      <c r="F27" s="27">
        <v>95310308</v>
      </c>
      <c r="G27" s="27">
        <v>24780680.079999998</v>
      </c>
      <c r="H27" s="27">
        <v>2230261.2071999996</v>
      </c>
      <c r="I27" s="44">
        <v>46204</v>
      </c>
      <c r="J27" s="25" t="s">
        <v>99</v>
      </c>
      <c r="K27" s="25" t="s">
        <v>94</v>
      </c>
      <c r="L27" s="25" t="s">
        <v>121</v>
      </c>
      <c r="M27" s="45">
        <f t="shared" ca="1" si="0"/>
        <v>36</v>
      </c>
      <c r="N27" s="34" t="str">
        <f t="shared" ca="1" si="1"/>
        <v>31-60</v>
      </c>
      <c r="O27" s="34">
        <f t="shared" si="2"/>
        <v>0.09</v>
      </c>
      <c r="P27" s="35">
        <f t="shared" si="3"/>
        <v>0.91</v>
      </c>
    </row>
    <row r="28" spans="4:16">
      <c r="D28" s="25" t="s">
        <v>982</v>
      </c>
      <c r="E28" s="25" t="s">
        <v>983</v>
      </c>
      <c r="F28" s="27">
        <v>166109726</v>
      </c>
      <c r="G28" s="27">
        <v>24916458.899999999</v>
      </c>
      <c r="H28" s="27">
        <v>6229114.7249999996</v>
      </c>
      <c r="I28" s="44">
        <v>46235</v>
      </c>
      <c r="J28" s="25" t="s">
        <v>133</v>
      </c>
      <c r="K28" s="25" t="s">
        <v>94</v>
      </c>
      <c r="L28" s="25" t="s">
        <v>110</v>
      </c>
      <c r="M28" s="45">
        <f t="shared" ca="1" si="0"/>
        <v>265</v>
      </c>
      <c r="N28" s="34" t="str">
        <f t="shared" ca="1" si="1"/>
        <v>90+</v>
      </c>
      <c r="O28" s="34">
        <f t="shared" si="2"/>
        <v>0.25</v>
      </c>
      <c r="P28" s="35">
        <f t="shared" si="3"/>
        <v>0.75</v>
      </c>
    </row>
    <row r="29" spans="4:16">
      <c r="D29" s="25" t="s">
        <v>984</v>
      </c>
      <c r="E29" s="25" t="s">
        <v>985</v>
      </c>
      <c r="F29" s="27">
        <v>80080118</v>
      </c>
      <c r="G29" s="27">
        <v>44044064.899999999</v>
      </c>
      <c r="H29" s="27">
        <v>4404406.49</v>
      </c>
      <c r="I29" s="44">
        <v>46266</v>
      </c>
      <c r="J29" s="25" t="s">
        <v>133</v>
      </c>
      <c r="K29" s="25" t="s">
        <v>134</v>
      </c>
      <c r="L29" s="25" t="s">
        <v>95</v>
      </c>
      <c r="M29" s="45">
        <f t="shared" ca="1" si="0"/>
        <v>146</v>
      </c>
      <c r="N29" s="34" t="str">
        <f t="shared" ca="1" si="1"/>
        <v>90+</v>
      </c>
      <c r="O29" s="34">
        <f t="shared" si="2"/>
        <v>0.1</v>
      </c>
      <c r="P29" s="35">
        <f t="shared" si="3"/>
        <v>0.9</v>
      </c>
    </row>
    <row r="30" spans="4:16">
      <c r="D30" s="25" t="s">
        <v>986</v>
      </c>
      <c r="E30" s="25" t="s">
        <v>987</v>
      </c>
      <c r="F30" s="27">
        <v>173909024</v>
      </c>
      <c r="G30" s="27">
        <v>45216346.240000002</v>
      </c>
      <c r="H30" s="27">
        <v>9947596.1728000008</v>
      </c>
      <c r="I30" s="44">
        <v>46296</v>
      </c>
      <c r="J30" s="25" t="s">
        <v>52</v>
      </c>
      <c r="K30" s="25" t="s">
        <v>94</v>
      </c>
      <c r="L30" s="25" t="s">
        <v>138</v>
      </c>
      <c r="M30" s="45">
        <f t="shared" ca="1" si="0"/>
        <v>169</v>
      </c>
      <c r="N30" s="34" t="str">
        <f t="shared" ca="1" si="1"/>
        <v>90+</v>
      </c>
      <c r="O30" s="34">
        <f t="shared" si="2"/>
        <v>0.22</v>
      </c>
      <c r="P30" s="35">
        <f t="shared" si="3"/>
        <v>0.78</v>
      </c>
    </row>
    <row r="31" spans="4:16">
      <c r="D31" s="25" t="s">
        <v>988</v>
      </c>
      <c r="E31" s="25" t="s">
        <v>989</v>
      </c>
      <c r="F31" s="27">
        <v>188267783</v>
      </c>
      <c r="G31" s="27">
        <v>146848870.74000001</v>
      </c>
      <c r="H31" s="27">
        <v>35243728.977600001</v>
      </c>
      <c r="I31" s="44">
        <v>46327</v>
      </c>
      <c r="J31" s="25" t="s">
        <v>52</v>
      </c>
      <c r="K31" s="25" t="s">
        <v>109</v>
      </c>
      <c r="L31" s="25" t="s">
        <v>110</v>
      </c>
      <c r="M31" s="45">
        <f t="shared" ca="1" si="0"/>
        <v>120</v>
      </c>
      <c r="N31" s="34" t="str">
        <f t="shared" ca="1" si="1"/>
        <v>90+</v>
      </c>
      <c r="O31" s="34">
        <f t="shared" si="2"/>
        <v>0.24</v>
      </c>
      <c r="P31" s="35">
        <f t="shared" si="3"/>
        <v>0.76</v>
      </c>
    </row>
    <row r="32" spans="4:16">
      <c r="D32" s="25" t="s">
        <v>990</v>
      </c>
      <c r="E32" s="25" t="s">
        <v>991</v>
      </c>
      <c r="F32" s="27">
        <v>132225483</v>
      </c>
      <c r="G32" s="27">
        <v>75368525.310000002</v>
      </c>
      <c r="H32" s="27">
        <v>30147410.124000002</v>
      </c>
      <c r="I32" s="44">
        <v>46357</v>
      </c>
      <c r="J32" s="25" t="s">
        <v>52</v>
      </c>
      <c r="K32" s="25" t="s">
        <v>56</v>
      </c>
      <c r="L32" s="25" t="s">
        <v>138</v>
      </c>
      <c r="M32" s="45">
        <f t="shared" ca="1" si="0"/>
        <v>316</v>
      </c>
      <c r="N32" s="34" t="str">
        <f t="shared" ca="1" si="1"/>
        <v>90+</v>
      </c>
      <c r="O32" s="34">
        <f t="shared" si="2"/>
        <v>0.4</v>
      </c>
      <c r="P32" s="35">
        <f t="shared" si="3"/>
        <v>0.6</v>
      </c>
    </row>
    <row r="33" spans="4:16">
      <c r="D33" s="25" t="s">
        <v>992</v>
      </c>
      <c r="E33" s="25" t="s">
        <v>993</v>
      </c>
      <c r="F33" s="27">
        <v>63803914</v>
      </c>
      <c r="G33" s="27">
        <v>60613718.299999997</v>
      </c>
      <c r="H33" s="27">
        <v>606137.18299999996</v>
      </c>
      <c r="I33" s="44">
        <v>46388</v>
      </c>
      <c r="J33" s="25" t="s">
        <v>52</v>
      </c>
      <c r="K33" s="25" t="s">
        <v>94</v>
      </c>
      <c r="L33" s="25" t="s">
        <v>95</v>
      </c>
      <c r="M33" s="45">
        <f t="shared" ca="1" si="0"/>
        <v>91</v>
      </c>
      <c r="N33" s="34" t="str">
        <f t="shared" ca="1" si="1"/>
        <v>90+</v>
      </c>
      <c r="O33" s="34">
        <f t="shared" si="2"/>
        <v>0.01</v>
      </c>
      <c r="P33" s="35">
        <f t="shared" si="3"/>
        <v>0.99</v>
      </c>
    </row>
    <row r="34" spans="4:16">
      <c r="D34" s="25" t="s">
        <v>994</v>
      </c>
      <c r="E34" s="25" t="s">
        <v>995</v>
      </c>
      <c r="F34" s="27">
        <v>57418764</v>
      </c>
      <c r="G34" s="27">
        <v>26412631.440000001</v>
      </c>
      <c r="H34" s="27">
        <v>16375831.492799999</v>
      </c>
      <c r="I34" s="44">
        <v>46419</v>
      </c>
      <c r="J34" s="25" t="s">
        <v>99</v>
      </c>
      <c r="K34" s="25" t="s">
        <v>89</v>
      </c>
      <c r="L34" s="25" t="s">
        <v>114</v>
      </c>
      <c r="M34" s="45">
        <f t="shared" ca="1" si="0"/>
        <v>165</v>
      </c>
      <c r="N34" s="34" t="str">
        <f t="shared" ca="1" si="1"/>
        <v>90+</v>
      </c>
      <c r="O34" s="34">
        <f t="shared" si="2"/>
        <v>0.61999999999999988</v>
      </c>
      <c r="P34" s="35">
        <f t="shared" si="3"/>
        <v>0.38000000000000012</v>
      </c>
    </row>
    <row r="35" spans="4:16">
      <c r="D35" s="25" t="s">
        <v>996</v>
      </c>
      <c r="E35" s="25" t="s">
        <v>997</v>
      </c>
      <c r="F35" s="27">
        <v>59431794</v>
      </c>
      <c r="G35" s="27">
        <v>9509087.0399999991</v>
      </c>
      <c r="H35" s="27">
        <v>3042907.8527999995</v>
      </c>
      <c r="I35" s="44">
        <v>46447</v>
      </c>
      <c r="J35" s="25" t="s">
        <v>52</v>
      </c>
      <c r="K35" s="25" t="s">
        <v>109</v>
      </c>
      <c r="L35" s="25" t="s">
        <v>95</v>
      </c>
      <c r="M35" s="45">
        <f t="shared" ca="1" si="0"/>
        <v>211</v>
      </c>
      <c r="N35" s="34" t="str">
        <f t="shared" ca="1" si="1"/>
        <v>90+</v>
      </c>
      <c r="O35" s="34">
        <f t="shared" si="2"/>
        <v>0.32</v>
      </c>
      <c r="P35" s="35">
        <f t="shared" si="3"/>
        <v>0.67999999999999994</v>
      </c>
    </row>
    <row r="36" spans="4:16">
      <c r="D36" s="25" t="s">
        <v>998</v>
      </c>
      <c r="E36" s="25" t="s">
        <v>999</v>
      </c>
      <c r="F36" s="27">
        <v>142004985</v>
      </c>
      <c r="G36" s="27">
        <v>134904735.75</v>
      </c>
      <c r="H36" s="27">
        <v>72848557.305000007</v>
      </c>
      <c r="I36" s="44">
        <v>46478</v>
      </c>
      <c r="J36" s="25" t="s">
        <v>52</v>
      </c>
      <c r="K36" s="25" t="s">
        <v>56</v>
      </c>
      <c r="L36" s="25" t="s">
        <v>121</v>
      </c>
      <c r="M36" s="45">
        <f t="shared" ca="1" si="0"/>
        <v>68</v>
      </c>
      <c r="N36" s="34" t="str">
        <f t="shared" ca="1" si="1"/>
        <v>61-90</v>
      </c>
      <c r="O36" s="34">
        <f t="shared" si="2"/>
        <v>0.54</v>
      </c>
      <c r="P36" s="35">
        <f t="shared" si="3"/>
        <v>0.45999999999999996</v>
      </c>
    </row>
    <row r="37" spans="4:16">
      <c r="D37" s="25" t="s">
        <v>1000</v>
      </c>
      <c r="E37" s="25" t="s">
        <v>1001</v>
      </c>
      <c r="F37" s="27">
        <v>101206488</v>
      </c>
      <c r="G37" s="27">
        <v>49591179.119999997</v>
      </c>
      <c r="H37" s="27">
        <v>13389618.362400001</v>
      </c>
      <c r="I37" s="44">
        <v>46508</v>
      </c>
      <c r="J37" s="25" t="s">
        <v>52</v>
      </c>
      <c r="K37" s="25" t="s">
        <v>56</v>
      </c>
      <c r="L37" s="25" t="s">
        <v>114</v>
      </c>
      <c r="M37" s="45">
        <f t="shared" ca="1" si="0"/>
        <v>170</v>
      </c>
      <c r="N37" s="34" t="str">
        <f t="shared" ca="1" si="1"/>
        <v>90+</v>
      </c>
      <c r="O37" s="34">
        <f t="shared" si="2"/>
        <v>0.27</v>
      </c>
      <c r="P37" s="35">
        <f t="shared" si="3"/>
        <v>0.73</v>
      </c>
    </row>
    <row r="38" spans="4:16">
      <c r="D38" s="25" t="s">
        <v>1002</v>
      </c>
      <c r="E38" s="25" t="s">
        <v>1003</v>
      </c>
      <c r="F38" s="27">
        <v>18766106</v>
      </c>
      <c r="G38" s="27">
        <v>6755798.1600000001</v>
      </c>
      <c r="H38" s="27">
        <v>2094297.4296000001</v>
      </c>
      <c r="I38" s="44">
        <v>46539</v>
      </c>
      <c r="J38" s="25" t="s">
        <v>133</v>
      </c>
      <c r="K38" s="25" t="s">
        <v>89</v>
      </c>
      <c r="L38" s="25" t="s">
        <v>114</v>
      </c>
      <c r="M38" s="45">
        <f t="shared" ca="1" si="0"/>
        <v>315</v>
      </c>
      <c r="N38" s="34" t="str">
        <f t="shared" ca="1" si="1"/>
        <v>90+</v>
      </c>
      <c r="O38" s="34">
        <f t="shared" si="2"/>
        <v>0.31</v>
      </c>
      <c r="P38" s="35">
        <f t="shared" si="3"/>
        <v>0.69</v>
      </c>
    </row>
    <row r="39" spans="4:16">
      <c r="D39" s="25" t="s">
        <v>1004</v>
      </c>
      <c r="E39" s="25" t="s">
        <v>1005</v>
      </c>
      <c r="F39" s="27">
        <v>83229763</v>
      </c>
      <c r="G39" s="27">
        <v>57428536.469999999</v>
      </c>
      <c r="H39" s="27">
        <v>2297141.4588000001</v>
      </c>
      <c r="I39" s="44">
        <v>46569</v>
      </c>
      <c r="J39" s="25" t="s">
        <v>133</v>
      </c>
      <c r="K39" s="25" t="s">
        <v>56</v>
      </c>
      <c r="L39" s="25" t="s">
        <v>90</v>
      </c>
      <c r="M39" s="45">
        <f t="shared" ca="1" si="0"/>
        <v>345</v>
      </c>
      <c r="N39" s="34" t="str">
        <f t="shared" ca="1" si="1"/>
        <v>90+</v>
      </c>
      <c r="O39" s="34">
        <f t="shared" si="2"/>
        <v>0.04</v>
      </c>
      <c r="P39" s="35">
        <f t="shared" si="3"/>
        <v>0.96</v>
      </c>
    </row>
    <row r="40" spans="4:16">
      <c r="D40" s="25" t="s">
        <v>1006</v>
      </c>
      <c r="E40" s="25" t="s">
        <v>1007</v>
      </c>
      <c r="F40" s="27">
        <v>114491200</v>
      </c>
      <c r="G40" s="27">
        <v>78998928</v>
      </c>
      <c r="H40" s="27">
        <v>18959742.719999999</v>
      </c>
      <c r="I40" s="44">
        <v>46600</v>
      </c>
      <c r="J40" s="25" t="s">
        <v>99</v>
      </c>
      <c r="K40" s="25" t="s">
        <v>109</v>
      </c>
      <c r="L40" s="25" t="s">
        <v>90</v>
      </c>
      <c r="M40" s="45">
        <f t="shared" ca="1" si="0"/>
        <v>162</v>
      </c>
      <c r="N40" s="34" t="str">
        <f t="shared" ca="1" si="1"/>
        <v>90+</v>
      </c>
      <c r="O40" s="34">
        <f t="shared" si="2"/>
        <v>0.24</v>
      </c>
      <c r="P40" s="35">
        <f t="shared" si="3"/>
        <v>0.76</v>
      </c>
    </row>
    <row r="41" spans="4:16">
      <c r="D41" s="25" t="s">
        <v>1008</v>
      </c>
      <c r="E41" s="25" t="s">
        <v>1009</v>
      </c>
      <c r="F41" s="27">
        <v>103023682</v>
      </c>
      <c r="G41" s="27">
        <v>52542077.82</v>
      </c>
      <c r="H41" s="27">
        <v>26796459.688200001</v>
      </c>
      <c r="I41" s="44">
        <v>46631</v>
      </c>
      <c r="J41" s="25" t="s">
        <v>52</v>
      </c>
      <c r="K41" s="25" t="s">
        <v>125</v>
      </c>
      <c r="L41" s="25" t="s">
        <v>95</v>
      </c>
      <c r="M41" s="45">
        <f t="shared" ca="1" si="0"/>
        <v>324</v>
      </c>
      <c r="N41" s="34" t="str">
        <f t="shared" ca="1" si="1"/>
        <v>90+</v>
      </c>
      <c r="O41" s="34">
        <f t="shared" si="2"/>
        <v>0.51</v>
      </c>
      <c r="P41" s="35">
        <f t="shared" si="3"/>
        <v>0.49</v>
      </c>
    </row>
    <row r="42" spans="4:16">
      <c r="D42" s="25" t="s">
        <v>1010</v>
      </c>
      <c r="E42" s="25" t="s">
        <v>1011</v>
      </c>
      <c r="F42" s="27">
        <v>139791053</v>
      </c>
      <c r="G42" s="27">
        <v>30754031.66</v>
      </c>
      <c r="H42" s="27">
        <v>8303588.5482000001</v>
      </c>
      <c r="I42" s="44">
        <v>46661</v>
      </c>
      <c r="J42" s="25" t="s">
        <v>99</v>
      </c>
      <c r="K42" s="25" t="s">
        <v>125</v>
      </c>
      <c r="L42" s="25" t="s">
        <v>95</v>
      </c>
      <c r="M42" s="45">
        <f t="shared" ca="1" si="0"/>
        <v>74</v>
      </c>
      <c r="N42" s="34" t="str">
        <f t="shared" ca="1" si="1"/>
        <v>61-90</v>
      </c>
      <c r="O42" s="34">
        <f t="shared" si="2"/>
        <v>0.27</v>
      </c>
      <c r="P42" s="35">
        <f t="shared" si="3"/>
        <v>0.73</v>
      </c>
    </row>
    <row r="43" spans="4:16">
      <c r="D43" s="25" t="s">
        <v>1012</v>
      </c>
      <c r="E43" s="25" t="s">
        <v>1013</v>
      </c>
      <c r="F43" s="27">
        <v>160288594</v>
      </c>
      <c r="G43" s="27">
        <v>84952954.819999993</v>
      </c>
      <c r="H43" s="27">
        <v>13592472.771199999</v>
      </c>
      <c r="I43" s="44">
        <v>46692</v>
      </c>
      <c r="J43" s="25" t="s">
        <v>52</v>
      </c>
      <c r="K43" s="25" t="s">
        <v>89</v>
      </c>
      <c r="L43" s="25" t="s">
        <v>114</v>
      </c>
      <c r="M43" s="45">
        <f t="shared" ca="1" si="0"/>
        <v>173</v>
      </c>
      <c r="N43" s="34" t="str">
        <f t="shared" ca="1" si="1"/>
        <v>90+</v>
      </c>
      <c r="O43" s="34">
        <f t="shared" si="2"/>
        <v>0.16</v>
      </c>
      <c r="P43" s="35">
        <f t="shared" si="3"/>
        <v>0.84</v>
      </c>
    </row>
    <row r="44" spans="4:16">
      <c r="D44" s="25" t="s">
        <v>1014</v>
      </c>
      <c r="E44" s="25" t="s">
        <v>1015</v>
      </c>
      <c r="F44" s="27">
        <v>35129860</v>
      </c>
      <c r="G44" s="27">
        <v>26347395</v>
      </c>
      <c r="H44" s="27">
        <v>3688635.3</v>
      </c>
      <c r="I44" s="44">
        <v>46722</v>
      </c>
      <c r="J44" s="25" t="s">
        <v>52</v>
      </c>
      <c r="K44" s="25" t="s">
        <v>89</v>
      </c>
      <c r="L44" s="25" t="s">
        <v>95</v>
      </c>
      <c r="M44" s="45">
        <f t="shared" ca="1" si="0"/>
        <v>270</v>
      </c>
      <c r="N44" s="34" t="str">
        <f t="shared" ca="1" si="1"/>
        <v>90+</v>
      </c>
      <c r="O44" s="34">
        <f t="shared" si="2"/>
        <v>0.13999999999999999</v>
      </c>
      <c r="P44" s="35">
        <f t="shared" si="3"/>
        <v>0.86</v>
      </c>
    </row>
    <row r="45" spans="4:16">
      <c r="D45" s="25" t="s">
        <v>1016</v>
      </c>
      <c r="E45" s="25" t="s">
        <v>1017</v>
      </c>
      <c r="F45" s="27">
        <v>154513208</v>
      </c>
      <c r="G45" s="27">
        <v>139061887.19999999</v>
      </c>
      <c r="H45" s="27">
        <v>50062279.391999997</v>
      </c>
      <c r="I45" s="44">
        <v>46753</v>
      </c>
      <c r="J45" s="25" t="s">
        <v>52</v>
      </c>
      <c r="K45" s="25" t="s">
        <v>125</v>
      </c>
      <c r="L45" s="25" t="s">
        <v>121</v>
      </c>
      <c r="M45" s="45">
        <f t="shared" ca="1" si="0"/>
        <v>161</v>
      </c>
      <c r="N45" s="34" t="str">
        <f t="shared" ca="1" si="1"/>
        <v>90+</v>
      </c>
      <c r="O45" s="34">
        <f t="shared" si="2"/>
        <v>0.36</v>
      </c>
      <c r="P45" s="35">
        <f t="shared" si="3"/>
        <v>0.64</v>
      </c>
    </row>
    <row r="46" spans="4:16">
      <c r="D46" s="25" t="s">
        <v>1018</v>
      </c>
      <c r="E46" s="25" t="s">
        <v>1019</v>
      </c>
      <c r="F46" s="27">
        <v>87305491</v>
      </c>
      <c r="G46" s="27">
        <v>79447996.810000002</v>
      </c>
      <c r="H46" s="27">
        <v>13506159.457699999</v>
      </c>
      <c r="I46" s="44">
        <v>46784</v>
      </c>
      <c r="J46" s="25" t="s">
        <v>99</v>
      </c>
      <c r="K46" s="25" t="s">
        <v>134</v>
      </c>
      <c r="L46" s="25" t="s">
        <v>95</v>
      </c>
      <c r="M46" s="45">
        <f t="shared" ca="1" si="0"/>
        <v>188</v>
      </c>
      <c r="N46" s="34" t="str">
        <f t="shared" ca="1" si="1"/>
        <v>90+</v>
      </c>
      <c r="O46" s="34">
        <f t="shared" si="2"/>
        <v>0.16999999999999998</v>
      </c>
      <c r="P46" s="35">
        <f t="shared" si="3"/>
        <v>0.83000000000000007</v>
      </c>
    </row>
    <row r="47" spans="4:16">
      <c r="D47" s="25" t="s">
        <v>1020</v>
      </c>
      <c r="E47" s="25" t="s">
        <v>1021</v>
      </c>
      <c r="F47" s="27">
        <v>75162114</v>
      </c>
      <c r="G47" s="27">
        <v>42842404.979999997</v>
      </c>
      <c r="H47" s="27">
        <v>21849626.539799999</v>
      </c>
      <c r="I47" s="44">
        <v>46813</v>
      </c>
      <c r="J47" s="25" t="s">
        <v>99</v>
      </c>
      <c r="K47" s="25" t="s">
        <v>56</v>
      </c>
      <c r="L47" s="25" t="s">
        <v>138</v>
      </c>
      <c r="M47" s="45">
        <f t="shared" ca="1" si="0"/>
        <v>108</v>
      </c>
      <c r="N47" s="34" t="str">
        <f t="shared" ca="1" si="1"/>
        <v>90+</v>
      </c>
      <c r="O47" s="34">
        <f t="shared" si="2"/>
        <v>0.51</v>
      </c>
      <c r="P47" s="35">
        <f t="shared" si="3"/>
        <v>0.49</v>
      </c>
    </row>
    <row r="48" spans="4:16">
      <c r="D48" s="25" t="s">
        <v>1022</v>
      </c>
      <c r="E48" s="25" t="s">
        <v>1023</v>
      </c>
      <c r="F48" s="27">
        <v>190115158</v>
      </c>
      <c r="G48" s="27">
        <v>180609400.09999999</v>
      </c>
      <c r="H48" s="27">
        <v>45152350.024999999</v>
      </c>
      <c r="I48" s="44">
        <v>46844</v>
      </c>
      <c r="J48" s="25" t="s">
        <v>52</v>
      </c>
      <c r="K48" s="25" t="s">
        <v>125</v>
      </c>
      <c r="L48" s="25" t="s">
        <v>121</v>
      </c>
      <c r="M48" s="45">
        <f t="shared" ca="1" si="0"/>
        <v>148</v>
      </c>
      <c r="N48" s="34" t="str">
        <f t="shared" ca="1" si="1"/>
        <v>90+</v>
      </c>
      <c r="O48" s="34">
        <f t="shared" si="2"/>
        <v>0.25</v>
      </c>
      <c r="P48" s="35">
        <f t="shared" si="3"/>
        <v>0.75</v>
      </c>
    </row>
    <row r="49" spans="4:16">
      <c r="D49" s="25" t="s">
        <v>1024</v>
      </c>
      <c r="E49" s="25" t="s">
        <v>1025</v>
      </c>
      <c r="F49" s="27">
        <v>47818063</v>
      </c>
      <c r="G49" s="27">
        <v>13389057.640000001</v>
      </c>
      <c r="H49" s="27">
        <v>5623404.2088000001</v>
      </c>
      <c r="I49" s="44">
        <v>46874</v>
      </c>
      <c r="J49" s="25" t="s">
        <v>99</v>
      </c>
      <c r="K49" s="25" t="s">
        <v>94</v>
      </c>
      <c r="L49" s="25" t="s">
        <v>114</v>
      </c>
      <c r="M49" s="45">
        <f t="shared" ca="1" si="0"/>
        <v>205</v>
      </c>
      <c r="N49" s="34" t="str">
        <f t="shared" ca="1" si="1"/>
        <v>90+</v>
      </c>
      <c r="O49" s="34">
        <f t="shared" si="2"/>
        <v>0.42</v>
      </c>
      <c r="P49" s="35">
        <f t="shared" si="3"/>
        <v>0.58000000000000007</v>
      </c>
    </row>
    <row r="50" spans="4:16">
      <c r="D50" s="25" t="s">
        <v>1026</v>
      </c>
      <c r="E50" s="25" t="s">
        <v>1027</v>
      </c>
      <c r="F50" s="27">
        <v>189923103</v>
      </c>
      <c r="G50" s="27">
        <v>180426947.84999999</v>
      </c>
      <c r="H50" s="27">
        <v>48715275.919500001</v>
      </c>
      <c r="I50" s="44">
        <v>46905</v>
      </c>
      <c r="J50" s="25" t="s">
        <v>99</v>
      </c>
      <c r="K50" s="25" t="s">
        <v>134</v>
      </c>
      <c r="L50" s="25" t="s">
        <v>110</v>
      </c>
      <c r="M50" s="45">
        <f t="shared" ca="1" si="0"/>
        <v>215</v>
      </c>
      <c r="N50" s="34" t="str">
        <f t="shared" ca="1" si="1"/>
        <v>90+</v>
      </c>
      <c r="O50" s="34">
        <f t="shared" si="2"/>
        <v>0.27</v>
      </c>
      <c r="P50" s="35">
        <f t="shared" si="3"/>
        <v>0.73</v>
      </c>
    </row>
    <row r="51" spans="4:16">
      <c r="D51" s="25" t="s">
        <v>1028</v>
      </c>
      <c r="E51" s="25" t="s">
        <v>1029</v>
      </c>
      <c r="F51" s="27">
        <v>161593842</v>
      </c>
      <c r="G51" s="27">
        <v>121195381.5</v>
      </c>
      <c r="H51" s="27">
        <v>4847815.26</v>
      </c>
      <c r="I51" s="44">
        <v>46935</v>
      </c>
      <c r="J51" s="25" t="s">
        <v>52</v>
      </c>
      <c r="K51" s="25" t="s">
        <v>125</v>
      </c>
      <c r="L51" s="25" t="s">
        <v>114</v>
      </c>
      <c r="M51" s="45">
        <f t="shared" ca="1" si="0"/>
        <v>246</v>
      </c>
      <c r="N51" s="34" t="str">
        <f t="shared" ca="1" si="1"/>
        <v>90+</v>
      </c>
      <c r="O51" s="34">
        <f t="shared" si="2"/>
        <v>0.04</v>
      </c>
      <c r="P51" s="35">
        <f t="shared" si="3"/>
        <v>0.96</v>
      </c>
    </row>
    <row r="52" spans="4:16">
      <c r="D52" s="25" t="s">
        <v>1030</v>
      </c>
      <c r="E52" s="25" t="s">
        <v>1031</v>
      </c>
      <c r="F52" s="27">
        <v>193595416</v>
      </c>
      <c r="G52" s="27">
        <v>44526945.68</v>
      </c>
      <c r="H52" s="27">
        <v>890538.91359999997</v>
      </c>
      <c r="I52" s="44">
        <v>46966</v>
      </c>
      <c r="J52" s="25" t="s">
        <v>52</v>
      </c>
      <c r="K52" s="25" t="s">
        <v>56</v>
      </c>
      <c r="L52" s="25" t="s">
        <v>138</v>
      </c>
      <c r="M52" s="45">
        <f t="shared" ca="1" si="0"/>
        <v>51</v>
      </c>
      <c r="N52" s="34" t="str">
        <f t="shared" ca="1" si="1"/>
        <v>31-60</v>
      </c>
      <c r="O52" s="34">
        <f t="shared" si="2"/>
        <v>0.02</v>
      </c>
      <c r="P52" s="35">
        <f t="shared" si="3"/>
        <v>0.98</v>
      </c>
    </row>
    <row r="53" spans="4:16">
      <c r="D53" s="25" t="s">
        <v>1032</v>
      </c>
      <c r="E53" s="25" t="s">
        <v>1033</v>
      </c>
      <c r="F53" s="27">
        <v>145995280</v>
      </c>
      <c r="G53" s="27">
        <v>102196696</v>
      </c>
      <c r="H53" s="27">
        <v>5109834.8</v>
      </c>
      <c r="I53" s="44">
        <v>46997</v>
      </c>
      <c r="J53" s="25" t="s">
        <v>99</v>
      </c>
      <c r="K53" s="25" t="s">
        <v>94</v>
      </c>
      <c r="L53" s="25" t="s">
        <v>95</v>
      </c>
      <c r="M53" s="45">
        <f t="shared" ca="1" si="0"/>
        <v>123</v>
      </c>
      <c r="N53" s="34" t="str">
        <f t="shared" ca="1" si="1"/>
        <v>90+</v>
      </c>
      <c r="O53" s="34">
        <f t="shared" si="2"/>
        <v>4.9999999999999996E-2</v>
      </c>
      <c r="P53" s="35">
        <f t="shared" si="3"/>
        <v>0.95</v>
      </c>
    </row>
    <row r="54" spans="4:16">
      <c r="D54" s="25" t="s">
        <v>1034</v>
      </c>
      <c r="E54" s="25" t="s">
        <v>1035</v>
      </c>
      <c r="F54" s="27">
        <v>35621497</v>
      </c>
      <c r="G54" s="27">
        <v>18166963.469999999</v>
      </c>
      <c r="H54" s="27">
        <v>8175133.5614999998</v>
      </c>
      <c r="I54" s="44">
        <v>47027</v>
      </c>
      <c r="J54" s="25" t="s">
        <v>52</v>
      </c>
      <c r="K54" s="25" t="s">
        <v>56</v>
      </c>
      <c r="L54" s="25" t="s">
        <v>121</v>
      </c>
      <c r="M54" s="45">
        <f t="shared" ca="1" si="0"/>
        <v>298</v>
      </c>
      <c r="N54" s="34" t="str">
        <f t="shared" ca="1" si="1"/>
        <v>90+</v>
      </c>
      <c r="O54" s="34">
        <f t="shared" si="2"/>
        <v>0.45</v>
      </c>
      <c r="P54" s="35">
        <f t="shared" si="3"/>
        <v>0.55000000000000004</v>
      </c>
    </row>
    <row r="55" spans="4:16">
      <c r="D55" s="25" t="s">
        <v>1036</v>
      </c>
      <c r="E55" s="25" t="s">
        <v>1037</v>
      </c>
      <c r="F55" s="27">
        <v>30033667</v>
      </c>
      <c r="G55" s="27">
        <v>5706396.7300000004</v>
      </c>
      <c r="H55" s="27">
        <v>913023.47680000006</v>
      </c>
      <c r="I55" s="44">
        <v>47058</v>
      </c>
      <c r="J55" s="25" t="s">
        <v>52</v>
      </c>
      <c r="K55" s="25" t="s">
        <v>56</v>
      </c>
      <c r="L55" s="25" t="s">
        <v>114</v>
      </c>
      <c r="M55" s="45">
        <f t="shared" ca="1" si="0"/>
        <v>219</v>
      </c>
      <c r="N55" s="34" t="str">
        <f t="shared" ca="1" si="1"/>
        <v>90+</v>
      </c>
      <c r="O55" s="34">
        <f t="shared" si="2"/>
        <v>0.16</v>
      </c>
      <c r="P55" s="35">
        <f t="shared" si="3"/>
        <v>0.84</v>
      </c>
    </row>
    <row r="56" spans="4:16">
      <c r="D56" s="25" t="s">
        <v>1038</v>
      </c>
      <c r="E56" s="25" t="s">
        <v>1039</v>
      </c>
      <c r="F56" s="27">
        <v>20002192</v>
      </c>
      <c r="G56" s="27">
        <v>12001315.199999999</v>
      </c>
      <c r="H56" s="27">
        <v>2520276.1919999998</v>
      </c>
      <c r="I56" s="44">
        <v>47088</v>
      </c>
      <c r="J56" s="25" t="s">
        <v>52</v>
      </c>
      <c r="K56" s="25" t="s">
        <v>94</v>
      </c>
      <c r="L56" s="25" t="s">
        <v>95</v>
      </c>
      <c r="M56" s="45">
        <f t="shared" ca="1" si="0"/>
        <v>178</v>
      </c>
      <c r="N56" s="34" t="str">
        <f t="shared" ca="1" si="1"/>
        <v>90+</v>
      </c>
      <c r="O56" s="34">
        <f t="shared" si="2"/>
        <v>0.21</v>
      </c>
      <c r="P56" s="35">
        <f t="shared" si="3"/>
        <v>0.79</v>
      </c>
    </row>
    <row r="57" spans="4:16">
      <c r="D57" s="25" t="s">
        <v>1040</v>
      </c>
      <c r="E57" s="25" t="s">
        <v>1041</v>
      </c>
      <c r="F57" s="27">
        <v>169184682</v>
      </c>
      <c r="G57" s="27">
        <v>113353736.94</v>
      </c>
      <c r="H57" s="27">
        <v>10201836.3246</v>
      </c>
      <c r="I57" s="44">
        <v>47119</v>
      </c>
      <c r="J57" s="25" t="s">
        <v>99</v>
      </c>
      <c r="K57" s="25" t="s">
        <v>94</v>
      </c>
      <c r="L57" s="25" t="s">
        <v>138</v>
      </c>
      <c r="M57" s="45">
        <f t="shared" ca="1" si="0"/>
        <v>312</v>
      </c>
      <c r="N57" s="34" t="str">
        <f t="shared" ca="1" si="1"/>
        <v>90+</v>
      </c>
      <c r="O57" s="34">
        <f t="shared" si="2"/>
        <v>0.09</v>
      </c>
      <c r="P57" s="35">
        <f t="shared" si="3"/>
        <v>0.91</v>
      </c>
    </row>
    <row r="58" spans="4:16">
      <c r="D58" s="25" t="s">
        <v>1042</v>
      </c>
      <c r="E58" s="25" t="s">
        <v>1043</v>
      </c>
      <c r="F58" s="27">
        <v>158605706</v>
      </c>
      <c r="G58" s="27">
        <v>28549027.079999998</v>
      </c>
      <c r="H58" s="27">
        <v>5709805.4159999993</v>
      </c>
      <c r="I58" s="44">
        <v>47150</v>
      </c>
      <c r="J58" s="25" t="s">
        <v>99</v>
      </c>
      <c r="K58" s="25" t="s">
        <v>109</v>
      </c>
      <c r="L58" s="25" t="s">
        <v>114</v>
      </c>
      <c r="M58" s="45">
        <f t="shared" ca="1" si="0"/>
        <v>264</v>
      </c>
      <c r="N58" s="34" t="str">
        <f t="shared" ca="1" si="1"/>
        <v>90+</v>
      </c>
      <c r="O58" s="34">
        <f t="shared" si="2"/>
        <v>0.19999999999999998</v>
      </c>
      <c r="P58" s="35">
        <f t="shared" si="3"/>
        <v>0.8</v>
      </c>
    </row>
    <row r="59" spans="4:16">
      <c r="D59" s="25" t="s">
        <v>1044</v>
      </c>
      <c r="E59" s="25" t="s">
        <v>1045</v>
      </c>
      <c r="F59" s="27">
        <v>149435480</v>
      </c>
      <c r="G59" s="27">
        <v>110582255.2</v>
      </c>
      <c r="H59" s="27">
        <v>47550369.736000001</v>
      </c>
      <c r="I59" s="44">
        <v>47178</v>
      </c>
      <c r="J59" s="25" t="s">
        <v>52</v>
      </c>
      <c r="K59" s="25" t="s">
        <v>134</v>
      </c>
      <c r="L59" s="25" t="s">
        <v>90</v>
      </c>
      <c r="M59" s="45">
        <f t="shared" ca="1" si="0"/>
        <v>162</v>
      </c>
      <c r="N59" s="34" t="str">
        <f t="shared" ca="1" si="1"/>
        <v>90+</v>
      </c>
      <c r="O59" s="34">
        <f t="shared" si="2"/>
        <v>0.43</v>
      </c>
      <c r="P59" s="35">
        <f t="shared" si="3"/>
        <v>0.57000000000000006</v>
      </c>
    </row>
    <row r="60" spans="4:16">
      <c r="D60" s="25" t="s">
        <v>1046</v>
      </c>
      <c r="E60" s="25" t="s">
        <v>1047</v>
      </c>
      <c r="F60" s="27">
        <v>106388284</v>
      </c>
      <c r="G60" s="27">
        <v>93621689.920000002</v>
      </c>
      <c r="H60" s="27">
        <v>9362168.9920000006</v>
      </c>
      <c r="I60" s="44">
        <v>47209</v>
      </c>
      <c r="J60" s="25" t="s">
        <v>52</v>
      </c>
      <c r="K60" s="25" t="s">
        <v>89</v>
      </c>
      <c r="L60" s="25" t="s">
        <v>95</v>
      </c>
      <c r="M60" s="45">
        <f t="shared" ca="1" si="0"/>
        <v>291</v>
      </c>
      <c r="N60" s="34" t="str">
        <f t="shared" ca="1" si="1"/>
        <v>90+</v>
      </c>
      <c r="O60" s="34">
        <f t="shared" si="2"/>
        <v>0.1</v>
      </c>
      <c r="P60" s="35">
        <f t="shared" si="3"/>
        <v>0.9</v>
      </c>
    </row>
    <row r="61" spans="4:16">
      <c r="D61" s="25" t="s">
        <v>1048</v>
      </c>
      <c r="E61" s="25" t="s">
        <v>1049</v>
      </c>
      <c r="F61" s="27">
        <v>29643913</v>
      </c>
      <c r="G61" s="27">
        <v>14821956.5</v>
      </c>
      <c r="H61" s="27">
        <v>5335904.34</v>
      </c>
      <c r="I61" s="44">
        <v>47239</v>
      </c>
      <c r="J61" s="25" t="s">
        <v>52</v>
      </c>
      <c r="K61" s="25" t="s">
        <v>56</v>
      </c>
      <c r="L61" s="25" t="s">
        <v>138</v>
      </c>
      <c r="M61" s="45">
        <f t="shared" ca="1" si="0"/>
        <v>294</v>
      </c>
      <c r="N61" s="34" t="str">
        <f t="shared" ca="1" si="1"/>
        <v>90+</v>
      </c>
      <c r="O61" s="34">
        <f t="shared" si="2"/>
        <v>0.36</v>
      </c>
      <c r="P61" s="35">
        <f t="shared" si="3"/>
        <v>0.64</v>
      </c>
    </row>
    <row r="62" spans="4:16">
      <c r="D62" s="25" t="s">
        <v>1050</v>
      </c>
      <c r="E62" s="25" t="s">
        <v>1051</v>
      </c>
      <c r="F62" s="27">
        <v>120007675</v>
      </c>
      <c r="G62" s="27">
        <v>16801074.5</v>
      </c>
      <c r="H62" s="27">
        <v>2520161.1749999998</v>
      </c>
      <c r="I62" s="44">
        <v>47270</v>
      </c>
      <c r="J62" s="25" t="s">
        <v>52</v>
      </c>
      <c r="K62" s="25" t="s">
        <v>125</v>
      </c>
      <c r="L62" s="25" t="s">
        <v>110</v>
      </c>
      <c r="M62" s="45">
        <f t="shared" ca="1" si="0"/>
        <v>200</v>
      </c>
      <c r="N62" s="34" t="str">
        <f t="shared" ca="1" si="1"/>
        <v>90+</v>
      </c>
      <c r="O62" s="34">
        <f t="shared" si="2"/>
        <v>0.15</v>
      </c>
      <c r="P62" s="35">
        <f t="shared" si="3"/>
        <v>0.85</v>
      </c>
    </row>
    <row r="63" spans="4:16">
      <c r="D63" s="25" t="s">
        <v>1052</v>
      </c>
      <c r="E63" s="25" t="s">
        <v>1053</v>
      </c>
      <c r="F63" s="27">
        <v>104139036</v>
      </c>
      <c r="G63" s="27">
        <v>52069518</v>
      </c>
      <c r="H63" s="27">
        <v>6769037.3399999999</v>
      </c>
      <c r="I63" s="44">
        <v>47300</v>
      </c>
      <c r="J63" s="25" t="s">
        <v>52</v>
      </c>
      <c r="K63" s="25" t="s">
        <v>125</v>
      </c>
      <c r="L63" s="25" t="s">
        <v>121</v>
      </c>
      <c r="M63" s="45">
        <f t="shared" ca="1" si="0"/>
        <v>73</v>
      </c>
      <c r="N63" s="34" t="str">
        <f t="shared" ca="1" si="1"/>
        <v>61-90</v>
      </c>
      <c r="O63" s="34">
        <f t="shared" si="2"/>
        <v>0.13</v>
      </c>
      <c r="P63" s="35">
        <f t="shared" si="3"/>
        <v>0.87</v>
      </c>
    </row>
    <row r="64" spans="4:16">
      <c r="D64" s="25" t="s">
        <v>1054</v>
      </c>
      <c r="E64" s="25" t="s">
        <v>1055</v>
      </c>
      <c r="F64" s="27">
        <v>151731153</v>
      </c>
      <c r="G64" s="27">
        <v>62209772.729999997</v>
      </c>
      <c r="H64" s="27">
        <v>6220977.2729999991</v>
      </c>
      <c r="I64" s="44">
        <v>47331</v>
      </c>
      <c r="J64" s="25" t="s">
        <v>99</v>
      </c>
      <c r="K64" s="25" t="s">
        <v>56</v>
      </c>
      <c r="L64" s="25" t="s">
        <v>110</v>
      </c>
      <c r="M64" s="45">
        <f t="shared" ca="1" si="0"/>
        <v>88</v>
      </c>
      <c r="N64" s="34" t="str">
        <f t="shared" ca="1" si="1"/>
        <v>61-90</v>
      </c>
      <c r="O64" s="34">
        <f t="shared" si="2"/>
        <v>9.9999999999999992E-2</v>
      </c>
      <c r="P64" s="35">
        <f t="shared" si="3"/>
        <v>0.9</v>
      </c>
    </row>
    <row r="65" spans="4:16">
      <c r="D65" s="25" t="s">
        <v>1056</v>
      </c>
      <c r="E65" s="25" t="s">
        <v>1057</v>
      </c>
      <c r="F65" s="27">
        <v>73028312</v>
      </c>
      <c r="G65" s="27">
        <v>8763397.4399999995</v>
      </c>
      <c r="H65" s="27">
        <v>3943528.8479999993</v>
      </c>
      <c r="I65" s="44">
        <v>47362</v>
      </c>
      <c r="J65" s="25" t="s">
        <v>52</v>
      </c>
      <c r="K65" s="25" t="s">
        <v>89</v>
      </c>
      <c r="L65" s="25" t="s">
        <v>138</v>
      </c>
      <c r="M65" s="45">
        <f t="shared" ca="1" si="0"/>
        <v>33</v>
      </c>
      <c r="N65" s="34" t="str">
        <f t="shared" ca="1" si="1"/>
        <v>31-60</v>
      </c>
      <c r="O65" s="34">
        <f t="shared" si="2"/>
        <v>0.44999999999999996</v>
      </c>
      <c r="P65" s="35">
        <f t="shared" si="3"/>
        <v>0.55000000000000004</v>
      </c>
    </row>
    <row r="66" spans="4:16">
      <c r="D66" s="25" t="s">
        <v>1058</v>
      </c>
      <c r="E66" s="25" t="s">
        <v>1059</v>
      </c>
      <c r="F66" s="27">
        <v>71792408</v>
      </c>
      <c r="G66" s="27">
        <v>68202787.599999994</v>
      </c>
      <c r="H66" s="27">
        <v>40239644.683999993</v>
      </c>
      <c r="I66" s="44">
        <v>47392</v>
      </c>
      <c r="J66" s="25" t="s">
        <v>52</v>
      </c>
      <c r="K66" s="25" t="s">
        <v>125</v>
      </c>
      <c r="L66" s="25" t="s">
        <v>95</v>
      </c>
      <c r="M66" s="45">
        <f t="shared" ca="1" si="0"/>
        <v>96</v>
      </c>
      <c r="N66" s="34" t="str">
        <f t="shared" ca="1" si="1"/>
        <v>90+</v>
      </c>
      <c r="O66" s="34">
        <f t="shared" si="2"/>
        <v>0.59</v>
      </c>
      <c r="P66" s="35">
        <f t="shared" si="3"/>
        <v>0.41000000000000003</v>
      </c>
    </row>
    <row r="67" spans="4:16">
      <c r="D67" s="25" t="s">
        <v>1060</v>
      </c>
      <c r="E67" s="25" t="s">
        <v>1061</v>
      </c>
      <c r="F67" s="27">
        <v>120615472</v>
      </c>
      <c r="G67" s="27">
        <v>65132354.880000003</v>
      </c>
      <c r="H67" s="27">
        <v>31263530.342400003</v>
      </c>
      <c r="I67" s="44">
        <v>47423</v>
      </c>
      <c r="J67" s="25" t="s">
        <v>52</v>
      </c>
      <c r="K67" s="25" t="s">
        <v>109</v>
      </c>
      <c r="L67" s="25" t="s">
        <v>114</v>
      </c>
      <c r="M67" s="45">
        <f t="shared" ca="1" si="0"/>
        <v>152</v>
      </c>
      <c r="N67" s="34" t="str">
        <f t="shared" ca="1" si="1"/>
        <v>90+</v>
      </c>
      <c r="O67" s="34">
        <f t="shared" si="2"/>
        <v>0.48000000000000004</v>
      </c>
      <c r="P67" s="35">
        <f t="shared" si="3"/>
        <v>0.52</v>
      </c>
    </row>
    <row r="68" spans="4:16">
      <c r="D68" s="25" t="s">
        <v>1062</v>
      </c>
      <c r="E68" s="25" t="s">
        <v>1063</v>
      </c>
      <c r="F68" s="27">
        <v>31866060</v>
      </c>
      <c r="G68" s="27">
        <v>17844993.600000001</v>
      </c>
      <c r="H68" s="27">
        <v>5710397.9520000005</v>
      </c>
      <c r="I68" s="44">
        <v>47453</v>
      </c>
      <c r="J68" s="25" t="s">
        <v>99</v>
      </c>
      <c r="K68" s="25" t="s">
        <v>125</v>
      </c>
      <c r="L68" s="25" t="s">
        <v>121</v>
      </c>
      <c r="M68" s="45">
        <f t="shared" ca="1" si="0"/>
        <v>104</v>
      </c>
      <c r="N68" s="34" t="str">
        <f t="shared" ca="1" si="1"/>
        <v>90+</v>
      </c>
      <c r="O68" s="34">
        <f t="shared" si="2"/>
        <v>0.32</v>
      </c>
      <c r="P68" s="35">
        <f t="shared" si="3"/>
        <v>0.67999999999999994</v>
      </c>
    </row>
    <row r="69" spans="4:16">
      <c r="D69" s="25" t="s">
        <v>1064</v>
      </c>
      <c r="E69" s="25" t="s">
        <v>1065</v>
      </c>
      <c r="F69" s="27">
        <v>16922480</v>
      </c>
      <c r="G69" s="27">
        <v>10153488</v>
      </c>
      <c r="H69" s="27">
        <v>5889023.04</v>
      </c>
      <c r="I69" s="44">
        <v>47484</v>
      </c>
      <c r="J69" s="25" t="s">
        <v>52</v>
      </c>
      <c r="K69" s="25" t="s">
        <v>125</v>
      </c>
      <c r="L69" s="25" t="s">
        <v>138</v>
      </c>
      <c r="M69" s="45">
        <f t="shared" ca="1" si="0"/>
        <v>339</v>
      </c>
      <c r="N69" s="34" t="str">
        <f t="shared" ca="1" si="1"/>
        <v>90+</v>
      </c>
      <c r="O69" s="34">
        <f t="shared" si="2"/>
        <v>0.57999999999999996</v>
      </c>
      <c r="P69" s="35">
        <f t="shared" si="3"/>
        <v>0.42000000000000004</v>
      </c>
    </row>
    <row r="70" spans="4:16">
      <c r="D70" s="25" t="s">
        <v>1066</v>
      </c>
      <c r="E70" s="25" t="s">
        <v>1067</v>
      </c>
      <c r="F70" s="27">
        <v>66010542</v>
      </c>
      <c r="G70" s="27">
        <v>11881897.560000001</v>
      </c>
      <c r="H70" s="27">
        <v>6653862.6336000003</v>
      </c>
      <c r="I70" s="44">
        <v>47515</v>
      </c>
      <c r="J70" s="25" t="s">
        <v>52</v>
      </c>
      <c r="K70" s="25" t="s">
        <v>134</v>
      </c>
      <c r="L70" s="25" t="s">
        <v>110</v>
      </c>
      <c r="M70" s="45">
        <f t="shared" ca="1" si="0"/>
        <v>280</v>
      </c>
      <c r="N70" s="34" t="str">
        <f t="shared" ca="1" si="1"/>
        <v>90+</v>
      </c>
      <c r="O70" s="34">
        <f t="shared" si="2"/>
        <v>0.56000000000000005</v>
      </c>
      <c r="P70" s="35">
        <f t="shared" si="3"/>
        <v>0.43999999999999995</v>
      </c>
    </row>
    <row r="71" spans="4:16">
      <c r="D71" s="25" t="s">
        <v>1068</v>
      </c>
      <c r="E71" s="25" t="s">
        <v>1069</v>
      </c>
      <c r="F71" s="27">
        <v>190605478</v>
      </c>
      <c r="G71" s="27">
        <v>131517779.81999999</v>
      </c>
      <c r="H71" s="27">
        <v>77595490.093799993</v>
      </c>
      <c r="I71" s="44">
        <v>47543</v>
      </c>
      <c r="J71" s="25" t="s">
        <v>52</v>
      </c>
      <c r="K71" s="25" t="s">
        <v>109</v>
      </c>
      <c r="L71" s="25" t="s">
        <v>138</v>
      </c>
      <c r="M71" s="45">
        <f t="shared" ca="1" si="0"/>
        <v>46</v>
      </c>
      <c r="N71" s="34" t="str">
        <f t="shared" ca="1" si="1"/>
        <v>31-60</v>
      </c>
      <c r="O71" s="34">
        <f t="shared" si="2"/>
        <v>0.59</v>
      </c>
      <c r="P71" s="35">
        <f t="shared" si="3"/>
        <v>0.41000000000000003</v>
      </c>
    </row>
    <row r="72" spans="4:16">
      <c r="D72" s="25" t="s">
        <v>1070</v>
      </c>
      <c r="E72" s="25" t="s">
        <v>1071</v>
      </c>
      <c r="F72" s="27">
        <v>65260538</v>
      </c>
      <c r="G72" s="27">
        <v>9136475.3200000003</v>
      </c>
      <c r="H72" s="27">
        <v>1370471.2980000002</v>
      </c>
      <c r="I72" s="44">
        <v>47574</v>
      </c>
      <c r="J72" s="25" t="s">
        <v>99</v>
      </c>
      <c r="K72" s="25" t="s">
        <v>89</v>
      </c>
      <c r="L72" s="25" t="s">
        <v>121</v>
      </c>
      <c r="M72" s="45">
        <f t="shared" ca="1" si="0"/>
        <v>193</v>
      </c>
      <c r="N72" s="34" t="str">
        <f t="shared" ca="1" si="1"/>
        <v>90+</v>
      </c>
      <c r="O72" s="34">
        <f t="shared" si="2"/>
        <v>0.15000000000000002</v>
      </c>
      <c r="P72" s="35">
        <f t="shared" si="3"/>
        <v>0.85</v>
      </c>
    </row>
    <row r="73" spans="4:16">
      <c r="D73" s="25" t="s">
        <v>1072</v>
      </c>
      <c r="E73" s="25" t="s">
        <v>1073</v>
      </c>
      <c r="F73" s="27">
        <v>80003695</v>
      </c>
      <c r="G73" s="27">
        <v>38401773.600000001</v>
      </c>
      <c r="H73" s="27">
        <v>24961152.84</v>
      </c>
      <c r="I73" s="44">
        <v>47604</v>
      </c>
      <c r="J73" s="25" t="s">
        <v>52</v>
      </c>
      <c r="K73" s="25" t="s">
        <v>89</v>
      </c>
      <c r="L73" s="25" t="s">
        <v>121</v>
      </c>
      <c r="M73" s="45">
        <f t="shared" ref="M73:M136" ca="1" si="4">RANDBETWEEN(31,360)</f>
        <v>175</v>
      </c>
      <c r="N73" s="34" t="str">
        <f t="shared" ref="N73:N136" ca="1" si="5">IF(M73&lt;=0,"Current",
IF(M73&lt;=30,"1-30",
IF(M73&lt;=60,"31-60",
IF(M73&lt;=90,"61-90","90+"))))</f>
        <v>90+</v>
      </c>
      <c r="O73" s="34">
        <f t="shared" ref="O73:O136" si="6">H73/G73</f>
        <v>0.65</v>
      </c>
      <c r="P73" s="35">
        <f t="shared" ref="P73:P136" si="7">1-O73</f>
        <v>0.35</v>
      </c>
    </row>
    <row r="74" spans="4:16">
      <c r="D74" s="25" t="s">
        <v>1074</v>
      </c>
      <c r="E74" s="25" t="s">
        <v>1075</v>
      </c>
      <c r="F74" s="27">
        <v>52558329</v>
      </c>
      <c r="G74" s="27">
        <v>47302496.100000001</v>
      </c>
      <c r="H74" s="27">
        <v>9933524.1809999999</v>
      </c>
      <c r="I74" s="44">
        <v>47635</v>
      </c>
      <c r="J74" s="25" t="s">
        <v>99</v>
      </c>
      <c r="K74" s="25" t="s">
        <v>125</v>
      </c>
      <c r="L74" s="25" t="s">
        <v>110</v>
      </c>
      <c r="M74" s="45">
        <f t="shared" ca="1" si="4"/>
        <v>173</v>
      </c>
      <c r="N74" s="34" t="str">
        <f t="shared" ca="1" si="5"/>
        <v>90+</v>
      </c>
      <c r="O74" s="34">
        <f t="shared" si="6"/>
        <v>0.21</v>
      </c>
      <c r="P74" s="35">
        <f t="shared" si="7"/>
        <v>0.79</v>
      </c>
    </row>
    <row r="75" spans="4:16">
      <c r="D75" s="25" t="s">
        <v>1076</v>
      </c>
      <c r="E75" s="25" t="s">
        <v>1077</v>
      </c>
      <c r="F75" s="27">
        <v>139965878</v>
      </c>
      <c r="G75" s="27">
        <v>34991469.5</v>
      </c>
      <c r="H75" s="27">
        <v>6648379.2050000001</v>
      </c>
      <c r="I75" s="44">
        <v>47665</v>
      </c>
      <c r="J75" s="25" t="s">
        <v>99</v>
      </c>
      <c r="K75" s="25" t="s">
        <v>125</v>
      </c>
      <c r="L75" s="25" t="s">
        <v>110</v>
      </c>
      <c r="M75" s="45">
        <f t="shared" ca="1" si="4"/>
        <v>280</v>
      </c>
      <c r="N75" s="34" t="str">
        <f t="shared" ca="1" si="5"/>
        <v>90+</v>
      </c>
      <c r="O75" s="34">
        <f t="shared" si="6"/>
        <v>0.19</v>
      </c>
      <c r="P75" s="35">
        <f t="shared" si="7"/>
        <v>0.81</v>
      </c>
    </row>
    <row r="76" spans="4:16">
      <c r="D76" s="25" t="s">
        <v>1078</v>
      </c>
      <c r="E76" s="25" t="s">
        <v>1079</v>
      </c>
      <c r="F76" s="27">
        <v>5706069</v>
      </c>
      <c r="G76" s="27">
        <v>2681852.4300000002</v>
      </c>
      <c r="H76" s="27">
        <v>1314107.6907000002</v>
      </c>
      <c r="I76" s="44">
        <v>47696</v>
      </c>
      <c r="J76" s="25" t="s">
        <v>52</v>
      </c>
      <c r="K76" s="25" t="s">
        <v>56</v>
      </c>
      <c r="L76" s="25" t="s">
        <v>95</v>
      </c>
      <c r="M76" s="45">
        <f t="shared" ca="1" si="4"/>
        <v>327</v>
      </c>
      <c r="N76" s="34" t="str">
        <f t="shared" ca="1" si="5"/>
        <v>90+</v>
      </c>
      <c r="O76" s="34">
        <f t="shared" si="6"/>
        <v>0.49000000000000005</v>
      </c>
      <c r="P76" s="35">
        <f t="shared" si="7"/>
        <v>0.51</v>
      </c>
    </row>
    <row r="77" spans="4:16">
      <c r="D77" s="25" t="s">
        <v>1080</v>
      </c>
      <c r="E77" s="25" t="s">
        <v>1081</v>
      </c>
      <c r="F77" s="27">
        <v>120806576</v>
      </c>
      <c r="G77" s="27">
        <v>41074235.840000004</v>
      </c>
      <c r="H77" s="27">
        <v>18894148.486400001</v>
      </c>
      <c r="I77" s="44">
        <v>47727</v>
      </c>
      <c r="J77" s="25" t="s">
        <v>52</v>
      </c>
      <c r="K77" s="25" t="s">
        <v>89</v>
      </c>
      <c r="L77" s="25" t="s">
        <v>121</v>
      </c>
      <c r="M77" s="45">
        <f t="shared" ca="1" si="4"/>
        <v>345</v>
      </c>
      <c r="N77" s="34" t="str">
        <f t="shared" ca="1" si="5"/>
        <v>90+</v>
      </c>
      <c r="O77" s="34">
        <f t="shared" si="6"/>
        <v>0.45999999999999996</v>
      </c>
      <c r="P77" s="35">
        <f t="shared" si="7"/>
        <v>0.54</v>
      </c>
    </row>
    <row r="78" spans="4:16">
      <c r="D78" s="25" t="s">
        <v>1082</v>
      </c>
      <c r="E78" s="25" t="s">
        <v>1083</v>
      </c>
      <c r="F78" s="27">
        <v>130590545</v>
      </c>
      <c r="G78" s="27">
        <v>60071650.700000003</v>
      </c>
      <c r="H78" s="27">
        <v>1201433.014</v>
      </c>
      <c r="I78" s="44">
        <v>47757</v>
      </c>
      <c r="J78" s="25" t="s">
        <v>52</v>
      </c>
      <c r="K78" s="25" t="s">
        <v>56</v>
      </c>
      <c r="L78" s="25" t="s">
        <v>121</v>
      </c>
      <c r="M78" s="45">
        <f t="shared" ca="1" si="4"/>
        <v>352</v>
      </c>
      <c r="N78" s="34" t="str">
        <f t="shared" ca="1" si="5"/>
        <v>90+</v>
      </c>
      <c r="O78" s="34">
        <f t="shared" si="6"/>
        <v>1.9999999999999997E-2</v>
      </c>
      <c r="P78" s="35">
        <f t="shared" si="7"/>
        <v>0.98</v>
      </c>
    </row>
    <row r="79" spans="4:16">
      <c r="D79" s="25" t="s">
        <v>1084</v>
      </c>
      <c r="E79" s="25" t="s">
        <v>1085</v>
      </c>
      <c r="F79" s="27">
        <v>110505358</v>
      </c>
      <c r="G79" s="27">
        <v>25416232.34</v>
      </c>
      <c r="H79" s="27">
        <v>4574921.8212000001</v>
      </c>
      <c r="I79" s="44">
        <v>47788</v>
      </c>
      <c r="J79" s="25" t="s">
        <v>52</v>
      </c>
      <c r="K79" s="25" t="s">
        <v>94</v>
      </c>
      <c r="L79" s="25" t="s">
        <v>121</v>
      </c>
      <c r="M79" s="45">
        <f t="shared" ca="1" si="4"/>
        <v>219</v>
      </c>
      <c r="N79" s="34" t="str">
        <f t="shared" ca="1" si="5"/>
        <v>90+</v>
      </c>
      <c r="O79" s="34">
        <f t="shared" si="6"/>
        <v>0.18</v>
      </c>
      <c r="P79" s="35">
        <f t="shared" si="7"/>
        <v>0.82000000000000006</v>
      </c>
    </row>
    <row r="80" spans="4:16">
      <c r="D80" s="25" t="s">
        <v>1086</v>
      </c>
      <c r="E80" s="25" t="s">
        <v>1087</v>
      </c>
      <c r="F80" s="27">
        <v>153704450</v>
      </c>
      <c r="G80" s="27">
        <v>153704450</v>
      </c>
      <c r="H80" s="27">
        <v>96833803.5</v>
      </c>
      <c r="I80" s="44">
        <v>47818</v>
      </c>
      <c r="J80" s="25" t="s">
        <v>52</v>
      </c>
      <c r="K80" s="25" t="s">
        <v>56</v>
      </c>
      <c r="L80" s="25" t="s">
        <v>95</v>
      </c>
      <c r="M80" s="45">
        <f t="shared" ca="1" si="4"/>
        <v>319</v>
      </c>
      <c r="N80" s="34" t="str">
        <f t="shared" ca="1" si="5"/>
        <v>90+</v>
      </c>
      <c r="O80" s="34">
        <f t="shared" si="6"/>
        <v>0.63</v>
      </c>
      <c r="P80" s="35">
        <f t="shared" si="7"/>
        <v>0.37</v>
      </c>
    </row>
    <row r="81" spans="4:16">
      <c r="D81" s="25" t="s">
        <v>1088</v>
      </c>
      <c r="E81" s="25" t="s">
        <v>1089</v>
      </c>
      <c r="F81" s="27">
        <v>182746505</v>
      </c>
      <c r="G81" s="27">
        <v>56651416.549999997</v>
      </c>
      <c r="H81" s="27">
        <v>31158279.102499999</v>
      </c>
      <c r="I81" s="44">
        <v>47849</v>
      </c>
      <c r="J81" s="25" t="s">
        <v>52</v>
      </c>
      <c r="K81" s="25" t="s">
        <v>89</v>
      </c>
      <c r="L81" s="25" t="s">
        <v>95</v>
      </c>
      <c r="M81" s="45">
        <f t="shared" ca="1" si="4"/>
        <v>289</v>
      </c>
      <c r="N81" s="34" t="str">
        <f t="shared" ca="1" si="5"/>
        <v>90+</v>
      </c>
      <c r="O81" s="34">
        <f t="shared" si="6"/>
        <v>0.55000000000000004</v>
      </c>
      <c r="P81" s="35">
        <f t="shared" si="7"/>
        <v>0.44999999999999996</v>
      </c>
    </row>
    <row r="82" spans="4:16">
      <c r="D82" s="25" t="s">
        <v>1090</v>
      </c>
      <c r="E82" s="25" t="s">
        <v>1091</v>
      </c>
      <c r="F82" s="27">
        <v>81117721</v>
      </c>
      <c r="G82" s="27">
        <v>35691797.240000002</v>
      </c>
      <c r="H82" s="27">
        <v>22128914.288800001</v>
      </c>
      <c r="I82" s="44">
        <v>47880</v>
      </c>
      <c r="J82" s="25" t="s">
        <v>52</v>
      </c>
      <c r="K82" s="25" t="s">
        <v>89</v>
      </c>
      <c r="L82" s="25" t="s">
        <v>95</v>
      </c>
      <c r="M82" s="45">
        <f t="shared" ca="1" si="4"/>
        <v>42</v>
      </c>
      <c r="N82" s="34" t="str">
        <f t="shared" ca="1" si="5"/>
        <v>31-60</v>
      </c>
      <c r="O82" s="34">
        <f t="shared" si="6"/>
        <v>0.62</v>
      </c>
      <c r="P82" s="35">
        <f t="shared" si="7"/>
        <v>0.38</v>
      </c>
    </row>
    <row r="83" spans="4:16">
      <c r="D83" s="25" t="s">
        <v>1092</v>
      </c>
      <c r="E83" s="25" t="s">
        <v>1093</v>
      </c>
      <c r="F83" s="27">
        <v>108627068</v>
      </c>
      <c r="G83" s="27">
        <v>99936902.560000002</v>
      </c>
      <c r="H83" s="27">
        <v>1998738.0512000001</v>
      </c>
      <c r="I83" s="44">
        <v>47908</v>
      </c>
      <c r="J83" s="25" t="s">
        <v>99</v>
      </c>
      <c r="K83" s="25" t="s">
        <v>134</v>
      </c>
      <c r="L83" s="25" t="s">
        <v>138</v>
      </c>
      <c r="M83" s="45">
        <f t="shared" ca="1" si="4"/>
        <v>125</v>
      </c>
      <c r="N83" s="34" t="str">
        <f t="shared" ca="1" si="5"/>
        <v>90+</v>
      </c>
      <c r="O83" s="34">
        <f t="shared" si="6"/>
        <v>0.02</v>
      </c>
      <c r="P83" s="35">
        <f t="shared" si="7"/>
        <v>0.98</v>
      </c>
    </row>
    <row r="84" spans="4:16">
      <c r="D84" s="25" t="s">
        <v>1094</v>
      </c>
      <c r="E84" s="25" t="s">
        <v>1095</v>
      </c>
      <c r="F84" s="27">
        <v>167981387</v>
      </c>
      <c r="G84" s="27">
        <v>146143806.69</v>
      </c>
      <c r="H84" s="27">
        <v>1461438.0669</v>
      </c>
      <c r="I84" s="44">
        <v>47939</v>
      </c>
      <c r="J84" s="25" t="s">
        <v>99</v>
      </c>
      <c r="K84" s="25" t="s">
        <v>94</v>
      </c>
      <c r="L84" s="25" t="s">
        <v>121</v>
      </c>
      <c r="M84" s="45">
        <f t="shared" ca="1" si="4"/>
        <v>202</v>
      </c>
      <c r="N84" s="34" t="str">
        <f t="shared" ca="1" si="5"/>
        <v>90+</v>
      </c>
      <c r="O84" s="34">
        <f t="shared" si="6"/>
        <v>0.01</v>
      </c>
      <c r="P84" s="35">
        <f t="shared" si="7"/>
        <v>0.99</v>
      </c>
    </row>
    <row r="85" spans="4:16">
      <c r="D85" s="25" t="s">
        <v>1096</v>
      </c>
      <c r="E85" s="25" t="s">
        <v>1097</v>
      </c>
      <c r="F85" s="27">
        <v>183966675</v>
      </c>
      <c r="G85" s="27">
        <v>110380005</v>
      </c>
      <c r="H85" s="27">
        <v>27595001.25</v>
      </c>
      <c r="I85" s="44">
        <v>47969</v>
      </c>
      <c r="J85" s="25" t="s">
        <v>52</v>
      </c>
      <c r="K85" s="25" t="s">
        <v>125</v>
      </c>
      <c r="L85" s="25" t="s">
        <v>90</v>
      </c>
      <c r="M85" s="45">
        <f t="shared" ca="1" si="4"/>
        <v>60</v>
      </c>
      <c r="N85" s="34" t="str">
        <f t="shared" ca="1" si="5"/>
        <v>31-60</v>
      </c>
      <c r="O85" s="34">
        <f t="shared" si="6"/>
        <v>0.25</v>
      </c>
      <c r="P85" s="35">
        <f t="shared" si="7"/>
        <v>0.75</v>
      </c>
    </row>
    <row r="86" spans="4:16">
      <c r="D86" s="25" t="s">
        <v>1098</v>
      </c>
      <c r="E86" s="25" t="s">
        <v>1099</v>
      </c>
      <c r="F86" s="27">
        <v>73827266</v>
      </c>
      <c r="G86" s="27">
        <v>53155631.520000003</v>
      </c>
      <c r="H86" s="27">
        <v>26046259.444800001</v>
      </c>
      <c r="I86" s="44">
        <v>48000</v>
      </c>
      <c r="J86" s="25" t="s">
        <v>52</v>
      </c>
      <c r="K86" s="25" t="s">
        <v>89</v>
      </c>
      <c r="L86" s="25" t="s">
        <v>110</v>
      </c>
      <c r="M86" s="45">
        <f t="shared" ca="1" si="4"/>
        <v>116</v>
      </c>
      <c r="N86" s="34" t="str">
        <f t="shared" ca="1" si="5"/>
        <v>90+</v>
      </c>
      <c r="O86" s="34">
        <f t="shared" si="6"/>
        <v>0.49</v>
      </c>
      <c r="P86" s="35">
        <f t="shared" si="7"/>
        <v>0.51</v>
      </c>
    </row>
    <row r="87" spans="4:16">
      <c r="D87" s="25" t="s">
        <v>1100</v>
      </c>
      <c r="E87" s="25" t="s">
        <v>1101</v>
      </c>
      <c r="F87" s="27">
        <v>76587183</v>
      </c>
      <c r="G87" s="27">
        <v>22976154.899999999</v>
      </c>
      <c r="H87" s="27">
        <v>919046.196</v>
      </c>
      <c r="I87" s="44">
        <v>48030</v>
      </c>
      <c r="J87" s="25" t="s">
        <v>99</v>
      </c>
      <c r="K87" s="25" t="s">
        <v>56</v>
      </c>
      <c r="L87" s="25" t="s">
        <v>95</v>
      </c>
      <c r="M87" s="45">
        <f t="shared" ca="1" si="4"/>
        <v>280</v>
      </c>
      <c r="N87" s="34" t="str">
        <f t="shared" ca="1" si="5"/>
        <v>90+</v>
      </c>
      <c r="O87" s="34">
        <f t="shared" si="6"/>
        <v>0.04</v>
      </c>
      <c r="P87" s="35">
        <f t="shared" si="7"/>
        <v>0.96</v>
      </c>
    </row>
    <row r="88" spans="4:16">
      <c r="D88" s="25" t="s">
        <v>1102</v>
      </c>
      <c r="E88" s="25" t="s">
        <v>1103</v>
      </c>
      <c r="F88" s="27">
        <v>115381199</v>
      </c>
      <c r="G88" s="27">
        <v>81920651.290000007</v>
      </c>
      <c r="H88" s="27">
        <v>12288097.693500001</v>
      </c>
      <c r="I88" s="44">
        <v>48061</v>
      </c>
      <c r="J88" s="25" t="s">
        <v>52</v>
      </c>
      <c r="K88" s="25" t="s">
        <v>56</v>
      </c>
      <c r="L88" s="25" t="s">
        <v>114</v>
      </c>
      <c r="M88" s="45">
        <f t="shared" ca="1" si="4"/>
        <v>286</v>
      </c>
      <c r="N88" s="34" t="str">
        <f t="shared" ca="1" si="5"/>
        <v>90+</v>
      </c>
      <c r="O88" s="34">
        <f t="shared" si="6"/>
        <v>0.15</v>
      </c>
      <c r="P88" s="35">
        <f t="shared" si="7"/>
        <v>0.85</v>
      </c>
    </row>
    <row r="89" spans="4:16">
      <c r="D89" s="25" t="s">
        <v>1104</v>
      </c>
      <c r="E89" s="25" t="s">
        <v>1105</v>
      </c>
      <c r="F89" s="27">
        <v>185189154</v>
      </c>
      <c r="G89" s="27">
        <v>122224841.64</v>
      </c>
      <c r="H89" s="27">
        <v>78223898.649599999</v>
      </c>
      <c r="I89" s="44">
        <v>48092</v>
      </c>
      <c r="J89" s="25" t="s">
        <v>52</v>
      </c>
      <c r="K89" s="25" t="s">
        <v>56</v>
      </c>
      <c r="L89" s="25" t="s">
        <v>110</v>
      </c>
      <c r="M89" s="45">
        <f t="shared" ca="1" si="4"/>
        <v>151</v>
      </c>
      <c r="N89" s="34" t="str">
        <f t="shared" ca="1" si="5"/>
        <v>90+</v>
      </c>
      <c r="O89" s="34">
        <f t="shared" si="6"/>
        <v>0.64</v>
      </c>
      <c r="P89" s="35">
        <f t="shared" si="7"/>
        <v>0.36</v>
      </c>
    </row>
    <row r="90" spans="4:16">
      <c r="D90" s="25" t="s">
        <v>1106</v>
      </c>
      <c r="E90" s="25" t="s">
        <v>1107</v>
      </c>
      <c r="F90" s="27">
        <v>12427560</v>
      </c>
      <c r="G90" s="27">
        <v>11184804</v>
      </c>
      <c r="H90" s="27">
        <v>559240.19999999995</v>
      </c>
      <c r="I90" s="44">
        <v>48122</v>
      </c>
      <c r="J90" s="25" t="s">
        <v>133</v>
      </c>
      <c r="K90" s="25" t="s">
        <v>125</v>
      </c>
      <c r="L90" s="25" t="s">
        <v>121</v>
      </c>
      <c r="M90" s="45">
        <f t="shared" ca="1" si="4"/>
        <v>70</v>
      </c>
      <c r="N90" s="34" t="str">
        <f t="shared" ca="1" si="5"/>
        <v>61-90</v>
      </c>
      <c r="O90" s="34">
        <f t="shared" si="6"/>
        <v>4.9999999999999996E-2</v>
      </c>
      <c r="P90" s="35">
        <f t="shared" si="7"/>
        <v>0.95</v>
      </c>
    </row>
    <row r="91" spans="4:16">
      <c r="D91" s="25" t="s">
        <v>1108</v>
      </c>
      <c r="E91" s="25" t="s">
        <v>1109</v>
      </c>
      <c r="F91" s="27">
        <v>37473310</v>
      </c>
      <c r="G91" s="27">
        <v>36349110.700000003</v>
      </c>
      <c r="H91" s="27">
        <v>9814259.8890000004</v>
      </c>
      <c r="I91" s="44">
        <v>48153</v>
      </c>
      <c r="J91" s="25" t="s">
        <v>52</v>
      </c>
      <c r="K91" s="25" t="s">
        <v>134</v>
      </c>
      <c r="L91" s="25" t="s">
        <v>110</v>
      </c>
      <c r="M91" s="45">
        <f t="shared" ca="1" si="4"/>
        <v>151</v>
      </c>
      <c r="N91" s="34" t="str">
        <f t="shared" ca="1" si="5"/>
        <v>90+</v>
      </c>
      <c r="O91" s="34">
        <f t="shared" si="6"/>
        <v>0.26999999999999996</v>
      </c>
      <c r="P91" s="35">
        <f t="shared" si="7"/>
        <v>0.73</v>
      </c>
    </row>
    <row r="92" spans="4:16">
      <c r="D92" s="25" t="s">
        <v>1110</v>
      </c>
      <c r="E92" s="25" t="s">
        <v>1111</v>
      </c>
      <c r="F92" s="27">
        <v>93955720</v>
      </c>
      <c r="G92" s="27">
        <v>93016162.799999997</v>
      </c>
      <c r="H92" s="27">
        <v>49298566.283999994</v>
      </c>
      <c r="I92" s="44">
        <v>48183</v>
      </c>
      <c r="J92" s="25" t="s">
        <v>52</v>
      </c>
      <c r="K92" s="25" t="s">
        <v>109</v>
      </c>
      <c r="L92" s="25" t="s">
        <v>114</v>
      </c>
      <c r="M92" s="45">
        <f t="shared" ca="1" si="4"/>
        <v>318</v>
      </c>
      <c r="N92" s="34" t="str">
        <f t="shared" ca="1" si="5"/>
        <v>90+</v>
      </c>
      <c r="O92" s="34">
        <f t="shared" si="6"/>
        <v>0.52999999999999992</v>
      </c>
      <c r="P92" s="35">
        <f t="shared" si="7"/>
        <v>0.47000000000000008</v>
      </c>
    </row>
    <row r="93" spans="4:16">
      <c r="D93" s="25" t="s">
        <v>1112</v>
      </c>
      <c r="E93" s="25" t="s">
        <v>1113</v>
      </c>
      <c r="F93" s="27">
        <v>70735654</v>
      </c>
      <c r="G93" s="27">
        <v>18391270.039999999</v>
      </c>
      <c r="H93" s="27">
        <v>5517381.0119999992</v>
      </c>
      <c r="I93" s="44">
        <v>48214</v>
      </c>
      <c r="J93" s="25" t="s">
        <v>99</v>
      </c>
      <c r="K93" s="25" t="s">
        <v>94</v>
      </c>
      <c r="L93" s="25" t="s">
        <v>95</v>
      </c>
      <c r="M93" s="45">
        <f t="shared" ca="1" si="4"/>
        <v>237</v>
      </c>
      <c r="N93" s="34" t="str">
        <f t="shared" ca="1" si="5"/>
        <v>90+</v>
      </c>
      <c r="O93" s="34">
        <f t="shared" si="6"/>
        <v>0.3</v>
      </c>
      <c r="P93" s="35">
        <f t="shared" si="7"/>
        <v>0.7</v>
      </c>
    </row>
    <row r="94" spans="4:16">
      <c r="D94" s="25" t="s">
        <v>1114</v>
      </c>
      <c r="E94" s="25" t="s">
        <v>1115</v>
      </c>
      <c r="F94" s="27">
        <v>124520971</v>
      </c>
      <c r="G94" s="27">
        <v>19923355.359999999</v>
      </c>
      <c r="H94" s="27">
        <v>3187736.8575999998</v>
      </c>
      <c r="I94" s="44">
        <v>48245</v>
      </c>
      <c r="J94" s="25" t="s">
        <v>52</v>
      </c>
      <c r="K94" s="25" t="s">
        <v>109</v>
      </c>
      <c r="L94" s="25" t="s">
        <v>110</v>
      </c>
      <c r="M94" s="45">
        <f t="shared" ca="1" si="4"/>
        <v>269</v>
      </c>
      <c r="N94" s="34" t="str">
        <f t="shared" ca="1" si="5"/>
        <v>90+</v>
      </c>
      <c r="O94" s="34">
        <f t="shared" si="6"/>
        <v>0.16</v>
      </c>
      <c r="P94" s="35">
        <f t="shared" si="7"/>
        <v>0.84</v>
      </c>
    </row>
    <row r="95" spans="4:16">
      <c r="D95" s="25" t="s">
        <v>1116</v>
      </c>
      <c r="E95" s="25" t="s">
        <v>1117</v>
      </c>
      <c r="F95" s="27">
        <v>42954604</v>
      </c>
      <c r="G95" s="27">
        <v>23195486.16</v>
      </c>
      <c r="H95" s="27">
        <v>3943232.6472000005</v>
      </c>
      <c r="I95" s="44">
        <v>48274</v>
      </c>
      <c r="J95" s="25" t="s">
        <v>52</v>
      </c>
      <c r="K95" s="25" t="s">
        <v>56</v>
      </c>
      <c r="L95" s="25" t="s">
        <v>95</v>
      </c>
      <c r="M95" s="45">
        <f t="shared" ca="1" si="4"/>
        <v>237</v>
      </c>
      <c r="N95" s="34" t="str">
        <f t="shared" ca="1" si="5"/>
        <v>90+</v>
      </c>
      <c r="O95" s="34">
        <f t="shared" si="6"/>
        <v>0.17</v>
      </c>
      <c r="P95" s="35">
        <f t="shared" si="7"/>
        <v>0.83</v>
      </c>
    </row>
    <row r="96" spans="4:16">
      <c r="D96" s="25" t="s">
        <v>1118</v>
      </c>
      <c r="E96" s="25" t="s">
        <v>1119</v>
      </c>
      <c r="F96" s="27">
        <v>73118672</v>
      </c>
      <c r="G96" s="27">
        <v>28516282.079999998</v>
      </c>
      <c r="H96" s="27">
        <v>15398792.323199999</v>
      </c>
      <c r="I96" s="44">
        <v>48305</v>
      </c>
      <c r="J96" s="25" t="s">
        <v>99</v>
      </c>
      <c r="K96" s="25" t="s">
        <v>125</v>
      </c>
      <c r="L96" s="25" t="s">
        <v>95</v>
      </c>
      <c r="M96" s="45">
        <f t="shared" ca="1" si="4"/>
        <v>273</v>
      </c>
      <c r="N96" s="34" t="str">
        <f t="shared" ca="1" si="5"/>
        <v>90+</v>
      </c>
      <c r="O96" s="34">
        <f t="shared" si="6"/>
        <v>0.54</v>
      </c>
      <c r="P96" s="35">
        <f t="shared" si="7"/>
        <v>0.45999999999999996</v>
      </c>
    </row>
    <row r="97" spans="4:16">
      <c r="D97" s="25" t="s">
        <v>1120</v>
      </c>
      <c r="E97" s="25" t="s">
        <v>1121</v>
      </c>
      <c r="F97" s="27">
        <v>15471191</v>
      </c>
      <c r="G97" s="27">
        <v>13924071.9</v>
      </c>
      <c r="H97" s="27">
        <v>5430388.0410000002</v>
      </c>
      <c r="I97" s="44">
        <v>48335</v>
      </c>
      <c r="J97" s="25" t="s">
        <v>52</v>
      </c>
      <c r="K97" s="25" t="s">
        <v>125</v>
      </c>
      <c r="L97" s="25" t="s">
        <v>110</v>
      </c>
      <c r="M97" s="45">
        <f t="shared" ca="1" si="4"/>
        <v>295</v>
      </c>
      <c r="N97" s="34" t="str">
        <f t="shared" ca="1" si="5"/>
        <v>90+</v>
      </c>
      <c r="O97" s="34">
        <f t="shared" si="6"/>
        <v>0.39</v>
      </c>
      <c r="P97" s="35">
        <f t="shared" si="7"/>
        <v>0.61</v>
      </c>
    </row>
    <row r="98" spans="4:16">
      <c r="D98" s="25" t="s">
        <v>1122</v>
      </c>
      <c r="E98" s="25" t="s">
        <v>1123</v>
      </c>
      <c r="F98" s="27">
        <v>3504833</v>
      </c>
      <c r="G98" s="27">
        <v>2733769.74</v>
      </c>
      <c r="H98" s="27">
        <v>820130.92200000002</v>
      </c>
      <c r="I98" s="44">
        <v>48366</v>
      </c>
      <c r="J98" s="25" t="s">
        <v>99</v>
      </c>
      <c r="K98" s="25" t="s">
        <v>134</v>
      </c>
      <c r="L98" s="25" t="s">
        <v>114</v>
      </c>
      <c r="M98" s="45">
        <f t="shared" ca="1" si="4"/>
        <v>343</v>
      </c>
      <c r="N98" s="34" t="str">
        <f t="shared" ca="1" si="5"/>
        <v>90+</v>
      </c>
      <c r="O98" s="34">
        <f t="shared" si="6"/>
        <v>0.3</v>
      </c>
      <c r="P98" s="35">
        <f t="shared" si="7"/>
        <v>0.7</v>
      </c>
    </row>
    <row r="99" spans="4:16">
      <c r="D99" s="25" t="s">
        <v>1124</v>
      </c>
      <c r="E99" s="25" t="s">
        <v>1125</v>
      </c>
      <c r="F99" s="27">
        <v>47886812</v>
      </c>
      <c r="G99" s="27">
        <v>9098494.2799999993</v>
      </c>
      <c r="H99" s="27">
        <v>454924.71399999998</v>
      </c>
      <c r="I99" s="44">
        <v>48396</v>
      </c>
      <c r="J99" s="25" t="s">
        <v>99</v>
      </c>
      <c r="K99" s="25" t="s">
        <v>109</v>
      </c>
      <c r="L99" s="25" t="s">
        <v>114</v>
      </c>
      <c r="M99" s="45">
        <f t="shared" ca="1" si="4"/>
        <v>171</v>
      </c>
      <c r="N99" s="34" t="str">
        <f t="shared" ca="1" si="5"/>
        <v>90+</v>
      </c>
      <c r="O99" s="34">
        <f t="shared" si="6"/>
        <v>0.05</v>
      </c>
      <c r="P99" s="35">
        <f t="shared" si="7"/>
        <v>0.95</v>
      </c>
    </row>
    <row r="100" spans="4:16">
      <c r="D100" s="25" t="s">
        <v>1126</v>
      </c>
      <c r="E100" s="25" t="s">
        <v>1127</v>
      </c>
      <c r="F100" s="27">
        <v>39234765</v>
      </c>
      <c r="G100" s="27">
        <v>36488331.450000003</v>
      </c>
      <c r="H100" s="27">
        <v>11676266.064000001</v>
      </c>
      <c r="I100" s="44">
        <v>48427</v>
      </c>
      <c r="J100" s="25" t="s">
        <v>99</v>
      </c>
      <c r="K100" s="25" t="s">
        <v>134</v>
      </c>
      <c r="L100" s="25" t="s">
        <v>138</v>
      </c>
      <c r="M100" s="45">
        <f t="shared" ca="1" si="4"/>
        <v>224</v>
      </c>
      <c r="N100" s="34" t="str">
        <f t="shared" ca="1" si="5"/>
        <v>90+</v>
      </c>
      <c r="O100" s="34">
        <f t="shared" si="6"/>
        <v>0.32</v>
      </c>
      <c r="P100" s="35">
        <f t="shared" si="7"/>
        <v>0.67999999999999994</v>
      </c>
    </row>
    <row r="101" spans="4:16">
      <c r="D101" s="25" t="s">
        <v>1128</v>
      </c>
      <c r="E101" s="25" t="s">
        <v>1129</v>
      </c>
      <c r="F101" s="27">
        <v>87632641</v>
      </c>
      <c r="G101" s="27">
        <v>72735092.030000001</v>
      </c>
      <c r="H101" s="27">
        <v>24002580.369900003</v>
      </c>
      <c r="I101" s="44">
        <v>48458</v>
      </c>
      <c r="J101" s="25" t="s">
        <v>52</v>
      </c>
      <c r="K101" s="25" t="s">
        <v>134</v>
      </c>
      <c r="L101" s="25" t="s">
        <v>114</v>
      </c>
      <c r="M101" s="45">
        <f t="shared" ca="1" si="4"/>
        <v>80</v>
      </c>
      <c r="N101" s="34" t="str">
        <f t="shared" ca="1" si="5"/>
        <v>61-90</v>
      </c>
      <c r="O101" s="34">
        <f t="shared" si="6"/>
        <v>0.33</v>
      </c>
      <c r="P101" s="35">
        <f t="shared" si="7"/>
        <v>0.66999999999999993</v>
      </c>
    </row>
    <row r="102" spans="4:16">
      <c r="D102" s="25" t="s">
        <v>1130</v>
      </c>
      <c r="E102" s="25" t="s">
        <v>1131</v>
      </c>
      <c r="F102" s="27">
        <v>47147925</v>
      </c>
      <c r="G102" s="27">
        <v>8958105.75</v>
      </c>
      <c r="H102" s="27">
        <v>2060364.3225</v>
      </c>
      <c r="I102" s="44">
        <v>48488</v>
      </c>
      <c r="J102" s="25" t="s">
        <v>52</v>
      </c>
      <c r="K102" s="25" t="s">
        <v>125</v>
      </c>
      <c r="L102" s="25" t="s">
        <v>121</v>
      </c>
      <c r="M102" s="45">
        <f t="shared" ca="1" si="4"/>
        <v>80</v>
      </c>
      <c r="N102" s="34" t="str">
        <f t="shared" ca="1" si="5"/>
        <v>61-90</v>
      </c>
      <c r="O102" s="34">
        <f t="shared" si="6"/>
        <v>0.23</v>
      </c>
      <c r="P102" s="35">
        <f t="shared" si="7"/>
        <v>0.77</v>
      </c>
    </row>
    <row r="103" spans="4:16">
      <c r="D103" s="25" t="s">
        <v>1132</v>
      </c>
      <c r="E103" s="25" t="s">
        <v>1133</v>
      </c>
      <c r="F103" s="27">
        <v>181294468</v>
      </c>
      <c r="G103" s="27">
        <v>48949506.359999999</v>
      </c>
      <c r="H103" s="27">
        <v>10768891.3992</v>
      </c>
      <c r="I103" s="44">
        <v>48519</v>
      </c>
      <c r="J103" s="25" t="s">
        <v>52</v>
      </c>
      <c r="K103" s="25" t="s">
        <v>89</v>
      </c>
      <c r="L103" s="25" t="s">
        <v>114</v>
      </c>
      <c r="M103" s="45">
        <f t="shared" ca="1" si="4"/>
        <v>217</v>
      </c>
      <c r="N103" s="34" t="str">
        <f t="shared" ca="1" si="5"/>
        <v>90+</v>
      </c>
      <c r="O103" s="34">
        <f t="shared" si="6"/>
        <v>0.22</v>
      </c>
      <c r="P103" s="35">
        <f t="shared" si="7"/>
        <v>0.78</v>
      </c>
    </row>
    <row r="104" spans="4:16">
      <c r="D104" s="25" t="s">
        <v>1134</v>
      </c>
      <c r="E104" s="25" t="s">
        <v>1135</v>
      </c>
      <c r="F104" s="27">
        <v>126911241</v>
      </c>
      <c r="G104" s="27">
        <v>79954081.829999998</v>
      </c>
      <c r="H104" s="27">
        <v>21587602.094099998</v>
      </c>
      <c r="I104" s="44">
        <v>48549</v>
      </c>
      <c r="J104" s="25" t="s">
        <v>52</v>
      </c>
      <c r="K104" s="25" t="s">
        <v>125</v>
      </c>
      <c r="L104" s="25" t="s">
        <v>90</v>
      </c>
      <c r="M104" s="45">
        <f t="shared" ca="1" si="4"/>
        <v>48</v>
      </c>
      <c r="N104" s="34" t="str">
        <f t="shared" ca="1" si="5"/>
        <v>31-60</v>
      </c>
      <c r="O104" s="34">
        <f t="shared" si="6"/>
        <v>0.26999999999999996</v>
      </c>
      <c r="P104" s="35">
        <f t="shared" si="7"/>
        <v>0.73</v>
      </c>
    </row>
    <row r="105" spans="4:16">
      <c r="D105" s="25" t="s">
        <v>1136</v>
      </c>
      <c r="E105" s="25" t="s">
        <v>1137</v>
      </c>
      <c r="F105" s="27">
        <v>186656397</v>
      </c>
      <c r="G105" s="27">
        <v>173590449.21000001</v>
      </c>
      <c r="H105" s="27">
        <v>31246280.857800003</v>
      </c>
      <c r="I105" s="44">
        <v>48580</v>
      </c>
      <c r="J105" s="25" t="s">
        <v>99</v>
      </c>
      <c r="K105" s="25" t="s">
        <v>109</v>
      </c>
      <c r="L105" s="25" t="s">
        <v>90</v>
      </c>
      <c r="M105" s="45">
        <f t="shared" ca="1" si="4"/>
        <v>100</v>
      </c>
      <c r="N105" s="34" t="str">
        <f t="shared" ca="1" si="5"/>
        <v>90+</v>
      </c>
      <c r="O105" s="34">
        <f t="shared" si="6"/>
        <v>0.18000000000000002</v>
      </c>
      <c r="P105" s="35">
        <f t="shared" si="7"/>
        <v>0.82</v>
      </c>
    </row>
    <row r="106" spans="4:16">
      <c r="D106" s="25" t="s">
        <v>1138</v>
      </c>
      <c r="E106" s="25" t="s">
        <v>1139</v>
      </c>
      <c r="F106" s="27">
        <v>96887479</v>
      </c>
      <c r="G106" s="27">
        <v>96887479</v>
      </c>
      <c r="H106" s="27">
        <v>42630490.759999998</v>
      </c>
      <c r="I106" s="44">
        <v>48611</v>
      </c>
      <c r="J106" s="25" t="s">
        <v>99</v>
      </c>
      <c r="K106" s="25" t="s">
        <v>89</v>
      </c>
      <c r="L106" s="25" t="s">
        <v>121</v>
      </c>
      <c r="M106" s="45">
        <f t="shared" ca="1" si="4"/>
        <v>259</v>
      </c>
      <c r="N106" s="34" t="str">
        <f t="shared" ca="1" si="5"/>
        <v>90+</v>
      </c>
      <c r="O106" s="34">
        <f t="shared" si="6"/>
        <v>0.44</v>
      </c>
      <c r="P106" s="35">
        <f t="shared" si="7"/>
        <v>0.56000000000000005</v>
      </c>
    </row>
    <row r="107" spans="4:16">
      <c r="D107" s="25" t="s">
        <v>1140</v>
      </c>
      <c r="E107" s="25" t="s">
        <v>1141</v>
      </c>
      <c r="F107" s="27">
        <v>115409629</v>
      </c>
      <c r="G107" s="27">
        <v>32314696.120000001</v>
      </c>
      <c r="H107" s="27">
        <v>20035111.5944</v>
      </c>
      <c r="I107" s="44">
        <v>48639</v>
      </c>
      <c r="J107" s="25" t="s">
        <v>99</v>
      </c>
      <c r="K107" s="25" t="s">
        <v>109</v>
      </c>
      <c r="L107" s="25" t="s">
        <v>110</v>
      </c>
      <c r="M107" s="45">
        <f t="shared" ca="1" si="4"/>
        <v>203</v>
      </c>
      <c r="N107" s="34" t="str">
        <f t="shared" ca="1" si="5"/>
        <v>90+</v>
      </c>
      <c r="O107" s="34">
        <f t="shared" si="6"/>
        <v>0.62</v>
      </c>
      <c r="P107" s="35">
        <f t="shared" si="7"/>
        <v>0.38</v>
      </c>
    </row>
    <row r="108" spans="4:16">
      <c r="D108" s="25" t="s">
        <v>1142</v>
      </c>
      <c r="E108" s="25" t="s">
        <v>1143</v>
      </c>
      <c r="F108" s="27">
        <v>98110554</v>
      </c>
      <c r="G108" s="27">
        <v>35319799.439999998</v>
      </c>
      <c r="H108" s="27">
        <v>8829949.8599999994</v>
      </c>
      <c r="I108" s="44">
        <v>48670</v>
      </c>
      <c r="J108" s="25" t="s">
        <v>52</v>
      </c>
      <c r="K108" s="25" t="s">
        <v>94</v>
      </c>
      <c r="L108" s="25" t="s">
        <v>90</v>
      </c>
      <c r="M108" s="45">
        <f t="shared" ca="1" si="4"/>
        <v>266</v>
      </c>
      <c r="N108" s="34" t="str">
        <f t="shared" ca="1" si="5"/>
        <v>90+</v>
      </c>
      <c r="O108" s="34">
        <f t="shared" si="6"/>
        <v>0.25</v>
      </c>
      <c r="P108" s="35">
        <f t="shared" si="7"/>
        <v>0.75</v>
      </c>
    </row>
    <row r="109" spans="4:16">
      <c r="D109" s="25" t="s">
        <v>1144</v>
      </c>
      <c r="E109" s="25" t="s">
        <v>1145</v>
      </c>
      <c r="F109" s="27">
        <v>193969001</v>
      </c>
      <c r="G109" s="27">
        <v>89225740.459999993</v>
      </c>
      <c r="H109" s="27">
        <v>16060633.2828</v>
      </c>
      <c r="I109" s="44">
        <v>48700</v>
      </c>
      <c r="J109" s="25" t="s">
        <v>99</v>
      </c>
      <c r="K109" s="25" t="s">
        <v>125</v>
      </c>
      <c r="L109" s="25" t="s">
        <v>138</v>
      </c>
      <c r="M109" s="45">
        <f t="shared" ca="1" si="4"/>
        <v>181</v>
      </c>
      <c r="N109" s="34" t="str">
        <f t="shared" ca="1" si="5"/>
        <v>90+</v>
      </c>
      <c r="O109" s="34">
        <f t="shared" si="6"/>
        <v>0.18000000000000002</v>
      </c>
      <c r="P109" s="35">
        <f t="shared" si="7"/>
        <v>0.82</v>
      </c>
    </row>
    <row r="110" spans="4:16">
      <c r="D110" s="25" t="s">
        <v>1146</v>
      </c>
      <c r="E110" s="25" t="s">
        <v>1147</v>
      </c>
      <c r="F110" s="27">
        <v>150259724</v>
      </c>
      <c r="G110" s="27">
        <v>136736348.84</v>
      </c>
      <c r="H110" s="27">
        <v>8204180.9304</v>
      </c>
      <c r="I110" s="44">
        <v>48731</v>
      </c>
      <c r="J110" s="25" t="s">
        <v>52</v>
      </c>
      <c r="K110" s="25" t="s">
        <v>134</v>
      </c>
      <c r="L110" s="25" t="s">
        <v>114</v>
      </c>
      <c r="M110" s="45">
        <f t="shared" ca="1" si="4"/>
        <v>161</v>
      </c>
      <c r="N110" s="34" t="str">
        <f t="shared" ca="1" si="5"/>
        <v>90+</v>
      </c>
      <c r="O110" s="34">
        <f t="shared" si="6"/>
        <v>0.06</v>
      </c>
      <c r="P110" s="35">
        <f t="shared" si="7"/>
        <v>0.94</v>
      </c>
    </row>
    <row r="111" spans="4:16">
      <c r="D111" s="25" t="s">
        <v>1148</v>
      </c>
      <c r="E111" s="25" t="s">
        <v>1149</v>
      </c>
      <c r="F111" s="27">
        <v>196200712</v>
      </c>
      <c r="G111" s="27">
        <v>176580640.80000001</v>
      </c>
      <c r="H111" s="27">
        <v>40613547.384000003</v>
      </c>
      <c r="I111" s="44">
        <v>48761</v>
      </c>
      <c r="J111" s="25" t="s">
        <v>99</v>
      </c>
      <c r="K111" s="25" t="s">
        <v>125</v>
      </c>
      <c r="L111" s="25" t="s">
        <v>121</v>
      </c>
      <c r="M111" s="45">
        <f t="shared" ca="1" si="4"/>
        <v>91</v>
      </c>
      <c r="N111" s="34" t="str">
        <f t="shared" ca="1" si="5"/>
        <v>90+</v>
      </c>
      <c r="O111" s="34">
        <f t="shared" si="6"/>
        <v>0.23</v>
      </c>
      <c r="P111" s="35">
        <f t="shared" si="7"/>
        <v>0.77</v>
      </c>
    </row>
    <row r="112" spans="4:16">
      <c r="D112" s="25" t="s">
        <v>1150</v>
      </c>
      <c r="E112" s="25" t="s">
        <v>1151</v>
      </c>
      <c r="F112" s="27">
        <v>185754828</v>
      </c>
      <c r="G112" s="27">
        <v>33435869.039999999</v>
      </c>
      <c r="H112" s="27">
        <v>6018456.4272000007</v>
      </c>
      <c r="I112" s="44">
        <v>48792</v>
      </c>
      <c r="J112" s="25" t="s">
        <v>99</v>
      </c>
      <c r="K112" s="25" t="s">
        <v>134</v>
      </c>
      <c r="L112" s="25" t="s">
        <v>121</v>
      </c>
      <c r="M112" s="45">
        <f t="shared" ca="1" si="4"/>
        <v>347</v>
      </c>
      <c r="N112" s="34" t="str">
        <f t="shared" ca="1" si="5"/>
        <v>90+</v>
      </c>
      <c r="O112" s="34">
        <f t="shared" si="6"/>
        <v>0.18000000000000002</v>
      </c>
      <c r="P112" s="35">
        <f t="shared" si="7"/>
        <v>0.82</v>
      </c>
    </row>
    <row r="113" spans="4:16">
      <c r="D113" s="25" t="s">
        <v>1152</v>
      </c>
      <c r="E113" s="25" t="s">
        <v>1153</v>
      </c>
      <c r="F113" s="27">
        <v>123568281</v>
      </c>
      <c r="G113" s="27">
        <v>76612334.219999999</v>
      </c>
      <c r="H113" s="27">
        <v>9193480.1063999999</v>
      </c>
      <c r="I113" s="44">
        <v>48823</v>
      </c>
      <c r="J113" s="25" t="s">
        <v>52</v>
      </c>
      <c r="K113" s="25" t="s">
        <v>56</v>
      </c>
      <c r="L113" s="25" t="s">
        <v>95</v>
      </c>
      <c r="M113" s="45">
        <f t="shared" ca="1" si="4"/>
        <v>182</v>
      </c>
      <c r="N113" s="34" t="str">
        <f t="shared" ca="1" si="5"/>
        <v>90+</v>
      </c>
      <c r="O113" s="34">
        <f t="shared" si="6"/>
        <v>0.12</v>
      </c>
      <c r="P113" s="35">
        <f t="shared" si="7"/>
        <v>0.88</v>
      </c>
    </row>
    <row r="114" spans="4:16">
      <c r="D114" s="25" t="s">
        <v>1154</v>
      </c>
      <c r="E114" s="25" t="s">
        <v>1155</v>
      </c>
      <c r="F114" s="27">
        <v>93581544</v>
      </c>
      <c r="G114" s="27">
        <v>23395386</v>
      </c>
      <c r="H114" s="27">
        <v>12633508.439999999</v>
      </c>
      <c r="I114" s="44">
        <v>48853</v>
      </c>
      <c r="J114" s="25" t="s">
        <v>52</v>
      </c>
      <c r="K114" s="25" t="s">
        <v>89</v>
      </c>
      <c r="L114" s="25" t="s">
        <v>110</v>
      </c>
      <c r="M114" s="45">
        <f t="shared" ca="1" si="4"/>
        <v>116</v>
      </c>
      <c r="N114" s="34" t="str">
        <f t="shared" ca="1" si="5"/>
        <v>90+</v>
      </c>
      <c r="O114" s="34">
        <f t="shared" si="6"/>
        <v>0.53999999999999992</v>
      </c>
      <c r="P114" s="35">
        <f t="shared" si="7"/>
        <v>0.46000000000000008</v>
      </c>
    </row>
    <row r="115" spans="4:16">
      <c r="D115" s="25" t="s">
        <v>1156</v>
      </c>
      <c r="E115" s="25" t="s">
        <v>1157</v>
      </c>
      <c r="F115" s="27">
        <v>158335102</v>
      </c>
      <c r="G115" s="27">
        <v>139334889.75999999</v>
      </c>
      <c r="H115" s="27">
        <v>32047024.644799996</v>
      </c>
      <c r="I115" s="44">
        <v>48884</v>
      </c>
      <c r="J115" s="25" t="s">
        <v>52</v>
      </c>
      <c r="K115" s="25" t="s">
        <v>94</v>
      </c>
      <c r="L115" s="25" t="s">
        <v>121</v>
      </c>
      <c r="M115" s="45">
        <f t="shared" ca="1" si="4"/>
        <v>33</v>
      </c>
      <c r="N115" s="34" t="str">
        <f t="shared" ca="1" si="5"/>
        <v>31-60</v>
      </c>
      <c r="O115" s="34">
        <f t="shared" si="6"/>
        <v>0.22999999999999998</v>
      </c>
      <c r="P115" s="35">
        <f t="shared" si="7"/>
        <v>0.77</v>
      </c>
    </row>
    <row r="116" spans="4:16">
      <c r="D116" s="25" t="s">
        <v>1158</v>
      </c>
      <c r="E116" s="25" t="s">
        <v>1159</v>
      </c>
      <c r="F116" s="27">
        <v>141804903</v>
      </c>
      <c r="G116" s="27">
        <v>127624412.7</v>
      </c>
      <c r="H116" s="27">
        <v>6381220.6349999998</v>
      </c>
      <c r="I116" s="44">
        <v>48914</v>
      </c>
      <c r="J116" s="25" t="s">
        <v>52</v>
      </c>
      <c r="K116" s="25" t="s">
        <v>125</v>
      </c>
      <c r="L116" s="25" t="s">
        <v>90</v>
      </c>
      <c r="M116" s="45">
        <f t="shared" ca="1" si="4"/>
        <v>87</v>
      </c>
      <c r="N116" s="34" t="str">
        <f t="shared" ca="1" si="5"/>
        <v>61-90</v>
      </c>
      <c r="O116" s="34">
        <f t="shared" si="6"/>
        <v>4.9999999999999996E-2</v>
      </c>
      <c r="P116" s="35">
        <f t="shared" si="7"/>
        <v>0.95</v>
      </c>
    </row>
    <row r="117" spans="4:16">
      <c r="D117" s="25" t="s">
        <v>1160</v>
      </c>
      <c r="E117" s="25" t="s">
        <v>1161</v>
      </c>
      <c r="F117" s="27">
        <v>1127006</v>
      </c>
      <c r="G117" s="27">
        <v>495882.64</v>
      </c>
      <c r="H117" s="27">
        <v>213229.53519999998</v>
      </c>
      <c r="I117" s="44">
        <v>48945</v>
      </c>
      <c r="J117" s="25" t="s">
        <v>99</v>
      </c>
      <c r="K117" s="25" t="s">
        <v>94</v>
      </c>
      <c r="L117" s="25" t="s">
        <v>95</v>
      </c>
      <c r="M117" s="45">
        <f t="shared" ca="1" si="4"/>
        <v>216</v>
      </c>
      <c r="N117" s="34" t="str">
        <f t="shared" ca="1" si="5"/>
        <v>90+</v>
      </c>
      <c r="O117" s="34">
        <f t="shared" si="6"/>
        <v>0.42999999999999994</v>
      </c>
      <c r="P117" s="35">
        <f t="shared" si="7"/>
        <v>0.57000000000000006</v>
      </c>
    </row>
    <row r="118" spans="4:16">
      <c r="D118" s="25" t="s">
        <v>1162</v>
      </c>
      <c r="E118" s="25" t="s">
        <v>1163</v>
      </c>
      <c r="F118" s="27">
        <v>36083012</v>
      </c>
      <c r="G118" s="27">
        <v>21288977.079999998</v>
      </c>
      <c r="H118" s="27">
        <v>9367149.9152000006</v>
      </c>
      <c r="I118" s="44">
        <v>48976</v>
      </c>
      <c r="J118" s="25" t="s">
        <v>52</v>
      </c>
      <c r="K118" s="25" t="s">
        <v>125</v>
      </c>
      <c r="L118" s="25" t="s">
        <v>114</v>
      </c>
      <c r="M118" s="45">
        <f t="shared" ca="1" si="4"/>
        <v>60</v>
      </c>
      <c r="N118" s="34" t="str">
        <f t="shared" ca="1" si="5"/>
        <v>31-60</v>
      </c>
      <c r="O118" s="34">
        <f t="shared" si="6"/>
        <v>0.44000000000000006</v>
      </c>
      <c r="P118" s="35">
        <f t="shared" si="7"/>
        <v>0.55999999999999994</v>
      </c>
    </row>
    <row r="119" spans="4:16">
      <c r="D119" s="25" t="s">
        <v>1164</v>
      </c>
      <c r="E119" s="25" t="s">
        <v>1165</v>
      </c>
      <c r="F119" s="27">
        <v>109705232</v>
      </c>
      <c r="G119" s="27">
        <v>91055342.560000002</v>
      </c>
      <c r="H119" s="27">
        <v>52812098.684800006</v>
      </c>
      <c r="I119" s="44">
        <v>49004</v>
      </c>
      <c r="J119" s="25" t="s">
        <v>99</v>
      </c>
      <c r="K119" s="25" t="s">
        <v>134</v>
      </c>
      <c r="L119" s="25" t="s">
        <v>110</v>
      </c>
      <c r="M119" s="45">
        <f t="shared" ca="1" si="4"/>
        <v>81</v>
      </c>
      <c r="N119" s="34" t="str">
        <f t="shared" ca="1" si="5"/>
        <v>61-90</v>
      </c>
      <c r="O119" s="34">
        <f t="shared" si="6"/>
        <v>0.58000000000000007</v>
      </c>
      <c r="P119" s="35">
        <f t="shared" si="7"/>
        <v>0.41999999999999993</v>
      </c>
    </row>
    <row r="120" spans="4:16">
      <c r="D120" s="25" t="s">
        <v>1166</v>
      </c>
      <c r="E120" s="25" t="s">
        <v>1167</v>
      </c>
      <c r="F120" s="27">
        <v>28253500</v>
      </c>
      <c r="G120" s="27">
        <v>13561680</v>
      </c>
      <c r="H120" s="27">
        <v>6509606.4000000004</v>
      </c>
      <c r="I120" s="44">
        <v>49035</v>
      </c>
      <c r="J120" s="25" t="s">
        <v>52</v>
      </c>
      <c r="K120" s="25" t="s">
        <v>56</v>
      </c>
      <c r="L120" s="25" t="s">
        <v>110</v>
      </c>
      <c r="M120" s="45">
        <f t="shared" ca="1" si="4"/>
        <v>251</v>
      </c>
      <c r="N120" s="34" t="str">
        <f t="shared" ca="1" si="5"/>
        <v>90+</v>
      </c>
      <c r="O120" s="34">
        <f t="shared" si="6"/>
        <v>0.48000000000000004</v>
      </c>
      <c r="P120" s="35">
        <f t="shared" si="7"/>
        <v>0.52</v>
      </c>
    </row>
    <row r="121" spans="4:16">
      <c r="D121" s="25" t="s">
        <v>1168</v>
      </c>
      <c r="E121" s="25" t="s">
        <v>1169</v>
      </c>
      <c r="F121" s="27">
        <v>162511775</v>
      </c>
      <c r="G121" s="27">
        <v>133259655.5</v>
      </c>
      <c r="H121" s="27">
        <v>45308282.869999997</v>
      </c>
      <c r="I121" s="44">
        <v>49065</v>
      </c>
      <c r="J121" s="25" t="s">
        <v>99</v>
      </c>
      <c r="K121" s="25" t="s">
        <v>94</v>
      </c>
      <c r="L121" s="25" t="s">
        <v>138</v>
      </c>
      <c r="M121" s="45">
        <f t="shared" ca="1" si="4"/>
        <v>173</v>
      </c>
      <c r="N121" s="34" t="str">
        <f t="shared" ca="1" si="5"/>
        <v>90+</v>
      </c>
      <c r="O121" s="34">
        <f t="shared" si="6"/>
        <v>0.33999999999999997</v>
      </c>
      <c r="P121" s="35">
        <f t="shared" si="7"/>
        <v>0.66</v>
      </c>
    </row>
    <row r="122" spans="4:16">
      <c r="D122" s="25" t="s">
        <v>1170</v>
      </c>
      <c r="E122" s="25" t="s">
        <v>1171</v>
      </c>
      <c r="F122" s="27">
        <v>72199153</v>
      </c>
      <c r="G122" s="27">
        <v>39709534.149999999</v>
      </c>
      <c r="H122" s="27">
        <v>2779667.3905000002</v>
      </c>
      <c r="I122" s="44">
        <v>49096</v>
      </c>
      <c r="J122" s="25" t="s">
        <v>52</v>
      </c>
      <c r="K122" s="25" t="s">
        <v>134</v>
      </c>
      <c r="L122" s="25" t="s">
        <v>138</v>
      </c>
      <c r="M122" s="45">
        <f t="shared" ca="1" si="4"/>
        <v>167</v>
      </c>
      <c r="N122" s="34" t="str">
        <f t="shared" ca="1" si="5"/>
        <v>90+</v>
      </c>
      <c r="O122" s="34">
        <f t="shared" si="6"/>
        <v>7.0000000000000007E-2</v>
      </c>
      <c r="P122" s="35">
        <f t="shared" si="7"/>
        <v>0.92999999999999994</v>
      </c>
    </row>
    <row r="123" spans="4:16">
      <c r="D123" s="25" t="s">
        <v>1172</v>
      </c>
      <c r="E123" s="25" t="s">
        <v>1173</v>
      </c>
      <c r="F123" s="27">
        <v>75222471</v>
      </c>
      <c r="G123" s="27">
        <v>54912403.829999998</v>
      </c>
      <c r="H123" s="27">
        <v>549124.03830000001</v>
      </c>
      <c r="I123" s="44">
        <v>49126</v>
      </c>
      <c r="J123" s="25" t="s">
        <v>133</v>
      </c>
      <c r="K123" s="25" t="s">
        <v>134</v>
      </c>
      <c r="L123" s="25" t="s">
        <v>114</v>
      </c>
      <c r="M123" s="45">
        <f t="shared" ca="1" si="4"/>
        <v>53</v>
      </c>
      <c r="N123" s="34" t="str">
        <f t="shared" ca="1" si="5"/>
        <v>31-60</v>
      </c>
      <c r="O123" s="34">
        <f t="shared" si="6"/>
        <v>0.01</v>
      </c>
      <c r="P123" s="35">
        <f t="shared" si="7"/>
        <v>0.99</v>
      </c>
    </row>
    <row r="124" spans="4:16">
      <c r="D124" s="25" t="s">
        <v>1174</v>
      </c>
      <c r="E124" s="25" t="s">
        <v>1175</v>
      </c>
      <c r="F124" s="27">
        <v>111717561</v>
      </c>
      <c r="G124" s="27">
        <v>33515268.300000001</v>
      </c>
      <c r="H124" s="27">
        <v>19103702.931000002</v>
      </c>
      <c r="I124" s="44">
        <v>49157</v>
      </c>
      <c r="J124" s="25" t="s">
        <v>52</v>
      </c>
      <c r="K124" s="25" t="s">
        <v>125</v>
      </c>
      <c r="L124" s="25" t="s">
        <v>114</v>
      </c>
      <c r="M124" s="45">
        <f t="shared" ca="1" si="4"/>
        <v>342</v>
      </c>
      <c r="N124" s="34" t="str">
        <f t="shared" ca="1" si="5"/>
        <v>90+</v>
      </c>
      <c r="O124" s="34">
        <f t="shared" si="6"/>
        <v>0.57000000000000006</v>
      </c>
      <c r="P124" s="35">
        <f t="shared" si="7"/>
        <v>0.42999999999999994</v>
      </c>
    </row>
    <row r="125" spans="4:16">
      <c r="D125" s="25" t="s">
        <v>1176</v>
      </c>
      <c r="E125" s="25" t="s">
        <v>1177</v>
      </c>
      <c r="F125" s="27">
        <v>72071648</v>
      </c>
      <c r="G125" s="27">
        <v>48288004.159999996</v>
      </c>
      <c r="H125" s="27">
        <v>28007042.412799999</v>
      </c>
      <c r="I125" s="44">
        <v>49188</v>
      </c>
      <c r="J125" s="25" t="s">
        <v>52</v>
      </c>
      <c r="K125" s="25" t="s">
        <v>134</v>
      </c>
      <c r="L125" s="25" t="s">
        <v>95</v>
      </c>
      <c r="M125" s="45">
        <f t="shared" ca="1" si="4"/>
        <v>170</v>
      </c>
      <c r="N125" s="34" t="str">
        <f t="shared" ca="1" si="5"/>
        <v>90+</v>
      </c>
      <c r="O125" s="34">
        <f t="shared" si="6"/>
        <v>0.58000000000000007</v>
      </c>
      <c r="P125" s="35">
        <f t="shared" si="7"/>
        <v>0.41999999999999993</v>
      </c>
    </row>
    <row r="126" spans="4:16">
      <c r="D126" s="25" t="s">
        <v>1178</v>
      </c>
      <c r="E126" s="25" t="s">
        <v>1179</v>
      </c>
      <c r="F126" s="27">
        <v>130030650</v>
      </c>
      <c r="G126" s="27">
        <v>74117470.5</v>
      </c>
      <c r="H126" s="27">
        <v>42988132.890000001</v>
      </c>
      <c r="I126" s="44">
        <v>49218</v>
      </c>
      <c r="J126" s="25" t="s">
        <v>52</v>
      </c>
      <c r="K126" s="25" t="s">
        <v>125</v>
      </c>
      <c r="L126" s="25" t="s">
        <v>114</v>
      </c>
      <c r="M126" s="45">
        <f t="shared" ca="1" si="4"/>
        <v>31</v>
      </c>
      <c r="N126" s="34" t="str">
        <f t="shared" ca="1" si="5"/>
        <v>31-60</v>
      </c>
      <c r="O126" s="34">
        <f t="shared" si="6"/>
        <v>0.57999999999999996</v>
      </c>
      <c r="P126" s="35">
        <f t="shared" si="7"/>
        <v>0.42000000000000004</v>
      </c>
    </row>
    <row r="127" spans="4:16">
      <c r="D127" s="25" t="s">
        <v>1180</v>
      </c>
      <c r="E127" s="25" t="s">
        <v>1181</v>
      </c>
      <c r="F127" s="27">
        <v>22621884</v>
      </c>
      <c r="G127" s="27">
        <v>15382881.119999999</v>
      </c>
      <c r="H127" s="27">
        <v>2922747.4127999996</v>
      </c>
      <c r="I127" s="44">
        <v>49249</v>
      </c>
      <c r="J127" s="25" t="s">
        <v>52</v>
      </c>
      <c r="K127" s="25" t="s">
        <v>56</v>
      </c>
      <c r="L127" s="25" t="s">
        <v>138</v>
      </c>
      <c r="M127" s="45">
        <f t="shared" ca="1" si="4"/>
        <v>321</v>
      </c>
      <c r="N127" s="34" t="str">
        <f t="shared" ca="1" si="5"/>
        <v>90+</v>
      </c>
      <c r="O127" s="34">
        <f t="shared" si="6"/>
        <v>0.18999999999999997</v>
      </c>
      <c r="P127" s="35">
        <f t="shared" si="7"/>
        <v>0.81</v>
      </c>
    </row>
    <row r="128" spans="4:16">
      <c r="D128" s="25" t="s">
        <v>1182</v>
      </c>
      <c r="E128" s="25" t="s">
        <v>1183</v>
      </c>
      <c r="F128" s="27">
        <v>176946278</v>
      </c>
      <c r="G128" s="27">
        <v>120323469.04000001</v>
      </c>
      <c r="H128" s="27">
        <v>72194081.42400001</v>
      </c>
      <c r="I128" s="44">
        <v>49279</v>
      </c>
      <c r="J128" s="25" t="s">
        <v>52</v>
      </c>
      <c r="K128" s="25" t="s">
        <v>125</v>
      </c>
      <c r="L128" s="25" t="s">
        <v>114</v>
      </c>
      <c r="M128" s="45">
        <f t="shared" ca="1" si="4"/>
        <v>45</v>
      </c>
      <c r="N128" s="34" t="str">
        <f t="shared" ca="1" si="5"/>
        <v>31-60</v>
      </c>
      <c r="O128" s="34">
        <f t="shared" si="6"/>
        <v>0.60000000000000009</v>
      </c>
      <c r="P128" s="35">
        <f t="shared" si="7"/>
        <v>0.39999999999999991</v>
      </c>
    </row>
    <row r="129" spans="4:16">
      <c r="D129" s="25" t="s">
        <v>1184</v>
      </c>
      <c r="E129" s="25" t="s">
        <v>1185</v>
      </c>
      <c r="F129" s="27">
        <v>152058519</v>
      </c>
      <c r="G129" s="27">
        <v>68426333.549999997</v>
      </c>
      <c r="H129" s="27">
        <v>29423323.4265</v>
      </c>
      <c r="I129" s="44">
        <v>49310</v>
      </c>
      <c r="J129" s="25" t="s">
        <v>52</v>
      </c>
      <c r="K129" s="25" t="s">
        <v>94</v>
      </c>
      <c r="L129" s="25" t="s">
        <v>90</v>
      </c>
      <c r="M129" s="45">
        <f t="shared" ca="1" si="4"/>
        <v>193</v>
      </c>
      <c r="N129" s="34" t="str">
        <f t="shared" ca="1" si="5"/>
        <v>90+</v>
      </c>
      <c r="O129" s="34">
        <f t="shared" si="6"/>
        <v>0.43</v>
      </c>
      <c r="P129" s="35">
        <f t="shared" si="7"/>
        <v>0.57000000000000006</v>
      </c>
    </row>
    <row r="130" spans="4:16">
      <c r="D130" s="25" t="s">
        <v>1186</v>
      </c>
      <c r="E130" s="25" t="s">
        <v>1187</v>
      </c>
      <c r="F130" s="27">
        <v>98357639</v>
      </c>
      <c r="G130" s="27">
        <v>33441597.260000002</v>
      </c>
      <c r="H130" s="27">
        <v>1337663.8904000001</v>
      </c>
      <c r="I130" s="44">
        <v>49341</v>
      </c>
      <c r="J130" s="25" t="s">
        <v>52</v>
      </c>
      <c r="K130" s="25" t="s">
        <v>94</v>
      </c>
      <c r="L130" s="25" t="s">
        <v>114</v>
      </c>
      <c r="M130" s="45">
        <f t="shared" ca="1" si="4"/>
        <v>349</v>
      </c>
      <c r="N130" s="34" t="str">
        <f t="shared" ca="1" si="5"/>
        <v>90+</v>
      </c>
      <c r="O130" s="34">
        <f t="shared" si="6"/>
        <v>0.04</v>
      </c>
      <c r="P130" s="35">
        <f t="shared" si="7"/>
        <v>0.96</v>
      </c>
    </row>
    <row r="131" spans="4:16">
      <c r="D131" s="25" t="s">
        <v>1188</v>
      </c>
      <c r="E131" s="25" t="s">
        <v>1189</v>
      </c>
      <c r="F131" s="27">
        <v>74737276</v>
      </c>
      <c r="G131" s="27">
        <v>14947455.199999999</v>
      </c>
      <c r="H131" s="27">
        <v>5530558.4239999996</v>
      </c>
      <c r="I131" s="44">
        <v>49369</v>
      </c>
      <c r="J131" s="25" t="s">
        <v>99</v>
      </c>
      <c r="K131" s="25" t="s">
        <v>125</v>
      </c>
      <c r="L131" s="25" t="s">
        <v>114</v>
      </c>
      <c r="M131" s="45">
        <f t="shared" ca="1" si="4"/>
        <v>342</v>
      </c>
      <c r="N131" s="34" t="str">
        <f t="shared" ca="1" si="5"/>
        <v>90+</v>
      </c>
      <c r="O131" s="34">
        <f t="shared" si="6"/>
        <v>0.37</v>
      </c>
      <c r="P131" s="35">
        <f t="shared" si="7"/>
        <v>0.63</v>
      </c>
    </row>
    <row r="132" spans="4:16">
      <c r="D132" s="25" t="s">
        <v>1190</v>
      </c>
      <c r="E132" s="25" t="s">
        <v>1191</v>
      </c>
      <c r="F132" s="27">
        <v>173848936</v>
      </c>
      <c r="G132" s="27">
        <v>130386702</v>
      </c>
      <c r="H132" s="27">
        <v>15646404.24</v>
      </c>
      <c r="I132" s="44">
        <v>49400</v>
      </c>
      <c r="J132" s="25" t="s">
        <v>133</v>
      </c>
      <c r="K132" s="25" t="s">
        <v>134</v>
      </c>
      <c r="L132" s="25" t="s">
        <v>110</v>
      </c>
      <c r="M132" s="45">
        <f t="shared" ca="1" si="4"/>
        <v>151</v>
      </c>
      <c r="N132" s="34" t="str">
        <f t="shared" ca="1" si="5"/>
        <v>90+</v>
      </c>
      <c r="O132" s="34">
        <f t="shared" si="6"/>
        <v>0.12</v>
      </c>
      <c r="P132" s="35">
        <f t="shared" si="7"/>
        <v>0.88</v>
      </c>
    </row>
    <row r="133" spans="4:16">
      <c r="D133" s="25" t="s">
        <v>1192</v>
      </c>
      <c r="E133" s="25" t="s">
        <v>1193</v>
      </c>
      <c r="F133" s="27">
        <v>166181596</v>
      </c>
      <c r="G133" s="27">
        <v>71458086.280000001</v>
      </c>
      <c r="H133" s="27">
        <v>16435359.8444</v>
      </c>
      <c r="I133" s="44">
        <v>49430</v>
      </c>
      <c r="J133" s="25" t="s">
        <v>99</v>
      </c>
      <c r="K133" s="25" t="s">
        <v>109</v>
      </c>
      <c r="L133" s="25" t="s">
        <v>90</v>
      </c>
      <c r="M133" s="45">
        <f t="shared" ca="1" si="4"/>
        <v>131</v>
      </c>
      <c r="N133" s="34" t="str">
        <f t="shared" ca="1" si="5"/>
        <v>90+</v>
      </c>
      <c r="O133" s="34">
        <f t="shared" si="6"/>
        <v>0.22999999999999998</v>
      </c>
      <c r="P133" s="35">
        <f t="shared" si="7"/>
        <v>0.77</v>
      </c>
    </row>
    <row r="134" spans="4:16">
      <c r="D134" s="25" t="s">
        <v>1194</v>
      </c>
      <c r="E134" s="25" t="s">
        <v>1195</v>
      </c>
      <c r="F134" s="27">
        <v>5499991</v>
      </c>
      <c r="G134" s="27">
        <v>3794993.79</v>
      </c>
      <c r="H134" s="27">
        <v>303599.50319999998</v>
      </c>
      <c r="I134" s="44">
        <v>49461</v>
      </c>
      <c r="J134" s="25" t="s">
        <v>52</v>
      </c>
      <c r="K134" s="25" t="s">
        <v>94</v>
      </c>
      <c r="L134" s="25" t="s">
        <v>138</v>
      </c>
      <c r="M134" s="45">
        <f t="shared" ca="1" si="4"/>
        <v>169</v>
      </c>
      <c r="N134" s="34" t="str">
        <f t="shared" ca="1" si="5"/>
        <v>90+</v>
      </c>
      <c r="O134" s="34">
        <f t="shared" si="6"/>
        <v>7.9999999999999988E-2</v>
      </c>
      <c r="P134" s="35">
        <f t="shared" si="7"/>
        <v>0.92</v>
      </c>
    </row>
    <row r="135" spans="4:16">
      <c r="D135" s="25" t="s">
        <v>1196</v>
      </c>
      <c r="E135" s="25" t="s">
        <v>1197</v>
      </c>
      <c r="F135" s="27">
        <v>148867409</v>
      </c>
      <c r="G135" s="27">
        <v>105695860.39</v>
      </c>
      <c r="H135" s="27">
        <v>2113917.2078</v>
      </c>
      <c r="I135" s="44">
        <v>49491</v>
      </c>
      <c r="J135" s="25" t="s">
        <v>99</v>
      </c>
      <c r="K135" s="25" t="s">
        <v>89</v>
      </c>
      <c r="L135" s="25" t="s">
        <v>114</v>
      </c>
      <c r="M135" s="45">
        <f t="shared" ca="1" si="4"/>
        <v>296</v>
      </c>
      <c r="N135" s="34" t="str">
        <f t="shared" ca="1" si="5"/>
        <v>90+</v>
      </c>
      <c r="O135" s="34">
        <f t="shared" si="6"/>
        <v>0.02</v>
      </c>
      <c r="P135" s="35">
        <f t="shared" si="7"/>
        <v>0.98</v>
      </c>
    </row>
    <row r="136" spans="4:16">
      <c r="D136" s="25" t="s">
        <v>1198</v>
      </c>
      <c r="E136" s="25" t="s">
        <v>1199</v>
      </c>
      <c r="F136" s="27">
        <v>156209843</v>
      </c>
      <c r="G136" s="27">
        <v>124967874.40000001</v>
      </c>
      <c r="H136" s="27">
        <v>69982009.664000005</v>
      </c>
      <c r="I136" s="44">
        <v>49522</v>
      </c>
      <c r="J136" s="25" t="s">
        <v>52</v>
      </c>
      <c r="K136" s="25" t="s">
        <v>125</v>
      </c>
      <c r="L136" s="25" t="s">
        <v>114</v>
      </c>
      <c r="M136" s="45">
        <f t="shared" ca="1" si="4"/>
        <v>348</v>
      </c>
      <c r="N136" s="34" t="str">
        <f t="shared" ca="1" si="5"/>
        <v>90+</v>
      </c>
      <c r="O136" s="34">
        <f t="shared" si="6"/>
        <v>0.56000000000000005</v>
      </c>
      <c r="P136" s="35">
        <f t="shared" si="7"/>
        <v>0.43999999999999995</v>
      </c>
    </row>
    <row r="137" spans="4:16">
      <c r="D137" s="25" t="s">
        <v>1200</v>
      </c>
      <c r="E137" s="25" t="s">
        <v>1201</v>
      </c>
      <c r="F137" s="27">
        <v>171951325</v>
      </c>
      <c r="G137" s="27">
        <v>29231725.25</v>
      </c>
      <c r="H137" s="27">
        <v>15785131.635</v>
      </c>
      <c r="I137" s="44">
        <v>49553</v>
      </c>
      <c r="J137" s="25" t="s">
        <v>99</v>
      </c>
      <c r="K137" s="25" t="s">
        <v>109</v>
      </c>
      <c r="L137" s="25" t="s">
        <v>90</v>
      </c>
      <c r="M137" s="45">
        <f t="shared" ref="M137:M200" ca="1" si="8">RANDBETWEEN(31,360)</f>
        <v>81</v>
      </c>
      <c r="N137" s="34" t="str">
        <f t="shared" ref="N137:N200" ca="1" si="9">IF(M137&lt;=0,"Current",
IF(M137&lt;=30,"1-30",
IF(M137&lt;=60,"31-60",
IF(M137&lt;=90,"61-90","90+"))))</f>
        <v>61-90</v>
      </c>
      <c r="O137" s="34">
        <f t="shared" ref="O137:O200" si="10">H137/G137</f>
        <v>0.54</v>
      </c>
      <c r="P137" s="35">
        <f t="shared" ref="P137:P200" si="11">1-O137</f>
        <v>0.45999999999999996</v>
      </c>
    </row>
    <row r="138" spans="4:16">
      <c r="D138" s="25" t="s">
        <v>1202</v>
      </c>
      <c r="E138" s="25" t="s">
        <v>1203</v>
      </c>
      <c r="F138" s="27">
        <v>25946588</v>
      </c>
      <c r="G138" s="27">
        <v>11935430.48</v>
      </c>
      <c r="H138" s="27">
        <v>119354.3048</v>
      </c>
      <c r="I138" s="44">
        <v>49583</v>
      </c>
      <c r="J138" s="25" t="s">
        <v>99</v>
      </c>
      <c r="K138" s="25" t="s">
        <v>109</v>
      </c>
      <c r="L138" s="25" t="s">
        <v>138</v>
      </c>
      <c r="M138" s="45">
        <f t="shared" ca="1" si="8"/>
        <v>283</v>
      </c>
      <c r="N138" s="34" t="str">
        <f t="shared" ca="1" si="9"/>
        <v>90+</v>
      </c>
      <c r="O138" s="34">
        <f t="shared" si="10"/>
        <v>0.01</v>
      </c>
      <c r="P138" s="35">
        <f t="shared" si="11"/>
        <v>0.99</v>
      </c>
    </row>
    <row r="139" spans="4:16">
      <c r="D139" s="25" t="s">
        <v>1204</v>
      </c>
      <c r="E139" s="25" t="s">
        <v>1205</v>
      </c>
      <c r="F139" s="27">
        <v>82479773</v>
      </c>
      <c r="G139" s="27">
        <v>24743931.899999999</v>
      </c>
      <c r="H139" s="27">
        <v>6185982.9749999996</v>
      </c>
      <c r="I139" s="44">
        <v>49614</v>
      </c>
      <c r="J139" s="25" t="s">
        <v>52</v>
      </c>
      <c r="K139" s="25" t="s">
        <v>109</v>
      </c>
      <c r="L139" s="25" t="s">
        <v>138</v>
      </c>
      <c r="M139" s="45">
        <f t="shared" ca="1" si="8"/>
        <v>302</v>
      </c>
      <c r="N139" s="34" t="str">
        <f t="shared" ca="1" si="9"/>
        <v>90+</v>
      </c>
      <c r="O139" s="34">
        <f t="shared" si="10"/>
        <v>0.25</v>
      </c>
      <c r="P139" s="35">
        <f t="shared" si="11"/>
        <v>0.75</v>
      </c>
    </row>
    <row r="140" spans="4:16">
      <c r="D140" s="25" t="s">
        <v>1206</v>
      </c>
      <c r="E140" s="25" t="s">
        <v>1207</v>
      </c>
      <c r="F140" s="27">
        <v>11954670</v>
      </c>
      <c r="G140" s="27">
        <v>6335975.0999999996</v>
      </c>
      <c r="H140" s="27">
        <v>3294707.0519999997</v>
      </c>
      <c r="I140" s="44">
        <v>49644</v>
      </c>
      <c r="J140" s="25" t="s">
        <v>52</v>
      </c>
      <c r="K140" s="25" t="s">
        <v>56</v>
      </c>
      <c r="L140" s="25" t="s">
        <v>95</v>
      </c>
      <c r="M140" s="45">
        <f t="shared" ca="1" si="8"/>
        <v>257</v>
      </c>
      <c r="N140" s="34" t="str">
        <f t="shared" ca="1" si="9"/>
        <v>90+</v>
      </c>
      <c r="O140" s="34">
        <f t="shared" si="10"/>
        <v>0.52</v>
      </c>
      <c r="P140" s="35">
        <f t="shared" si="11"/>
        <v>0.48</v>
      </c>
    </row>
    <row r="141" spans="4:16">
      <c r="D141" s="25" t="s">
        <v>1208</v>
      </c>
      <c r="E141" s="25" t="s">
        <v>1209</v>
      </c>
      <c r="F141" s="27">
        <v>151624239</v>
      </c>
      <c r="G141" s="27">
        <v>36389817.359999999</v>
      </c>
      <c r="H141" s="27">
        <v>14919825.1176</v>
      </c>
      <c r="I141" s="44">
        <v>49675</v>
      </c>
      <c r="J141" s="25" t="s">
        <v>99</v>
      </c>
      <c r="K141" s="25" t="s">
        <v>56</v>
      </c>
      <c r="L141" s="25" t="s">
        <v>138</v>
      </c>
      <c r="M141" s="45">
        <f t="shared" ca="1" si="8"/>
        <v>328</v>
      </c>
      <c r="N141" s="34" t="str">
        <f t="shared" ca="1" si="9"/>
        <v>90+</v>
      </c>
      <c r="O141" s="34">
        <f t="shared" si="10"/>
        <v>0.41</v>
      </c>
      <c r="P141" s="35">
        <f t="shared" si="11"/>
        <v>0.59000000000000008</v>
      </c>
    </row>
    <row r="142" spans="4:16">
      <c r="D142" s="25" t="s">
        <v>1210</v>
      </c>
      <c r="E142" s="25" t="s">
        <v>1211</v>
      </c>
      <c r="F142" s="27">
        <v>97600385</v>
      </c>
      <c r="G142" s="27">
        <v>30256119.350000001</v>
      </c>
      <c r="H142" s="27">
        <v>605122.38699999999</v>
      </c>
      <c r="I142" s="44">
        <v>49706</v>
      </c>
      <c r="J142" s="25" t="s">
        <v>52</v>
      </c>
      <c r="K142" s="25" t="s">
        <v>134</v>
      </c>
      <c r="L142" s="25" t="s">
        <v>121</v>
      </c>
      <c r="M142" s="45">
        <f t="shared" ca="1" si="8"/>
        <v>238</v>
      </c>
      <c r="N142" s="34" t="str">
        <f t="shared" ca="1" si="9"/>
        <v>90+</v>
      </c>
      <c r="O142" s="34">
        <f t="shared" si="10"/>
        <v>1.9999999999999997E-2</v>
      </c>
      <c r="P142" s="35">
        <f t="shared" si="11"/>
        <v>0.98</v>
      </c>
    </row>
    <row r="143" spans="4:16">
      <c r="D143" s="25" t="s">
        <v>1212</v>
      </c>
      <c r="E143" s="25" t="s">
        <v>1213</v>
      </c>
      <c r="F143" s="27">
        <v>50294064</v>
      </c>
      <c r="G143" s="27">
        <v>32691141.600000001</v>
      </c>
      <c r="H143" s="27">
        <v>653822.83200000005</v>
      </c>
      <c r="I143" s="44">
        <v>49735</v>
      </c>
      <c r="J143" s="25" t="s">
        <v>99</v>
      </c>
      <c r="K143" s="25" t="s">
        <v>109</v>
      </c>
      <c r="L143" s="25" t="s">
        <v>110</v>
      </c>
      <c r="M143" s="45">
        <f t="shared" ca="1" si="8"/>
        <v>308</v>
      </c>
      <c r="N143" s="34" t="str">
        <f t="shared" ca="1" si="9"/>
        <v>90+</v>
      </c>
      <c r="O143" s="34">
        <f t="shared" si="10"/>
        <v>0.02</v>
      </c>
      <c r="P143" s="35">
        <f t="shared" si="11"/>
        <v>0.98</v>
      </c>
    </row>
    <row r="144" spans="4:16">
      <c r="D144" s="25" t="s">
        <v>1214</v>
      </c>
      <c r="E144" s="25" t="s">
        <v>1215</v>
      </c>
      <c r="F144" s="27">
        <v>47506445</v>
      </c>
      <c r="G144" s="27">
        <v>19002578</v>
      </c>
      <c r="H144" s="27">
        <v>10071366.34</v>
      </c>
      <c r="I144" s="44">
        <v>49766</v>
      </c>
      <c r="J144" s="25" t="s">
        <v>99</v>
      </c>
      <c r="K144" s="25" t="s">
        <v>94</v>
      </c>
      <c r="L144" s="25" t="s">
        <v>121</v>
      </c>
      <c r="M144" s="45">
        <f t="shared" ca="1" si="8"/>
        <v>65</v>
      </c>
      <c r="N144" s="34" t="str">
        <f t="shared" ca="1" si="9"/>
        <v>61-90</v>
      </c>
      <c r="O144" s="34">
        <f t="shared" si="10"/>
        <v>0.53</v>
      </c>
      <c r="P144" s="35">
        <f t="shared" si="11"/>
        <v>0.47</v>
      </c>
    </row>
    <row r="145" spans="4:16">
      <c r="D145" s="25" t="s">
        <v>1216</v>
      </c>
      <c r="E145" s="25" t="s">
        <v>1217</v>
      </c>
      <c r="F145" s="27">
        <v>87639936</v>
      </c>
      <c r="G145" s="27">
        <v>77999543.040000007</v>
      </c>
      <c r="H145" s="27">
        <v>1559990.8608000001</v>
      </c>
      <c r="I145" s="44">
        <v>49796</v>
      </c>
      <c r="J145" s="25" t="s">
        <v>52</v>
      </c>
      <c r="K145" s="25" t="s">
        <v>56</v>
      </c>
      <c r="L145" s="25" t="s">
        <v>110</v>
      </c>
      <c r="M145" s="45">
        <f t="shared" ca="1" si="8"/>
        <v>357</v>
      </c>
      <c r="N145" s="34" t="str">
        <f t="shared" ca="1" si="9"/>
        <v>90+</v>
      </c>
      <c r="O145" s="34">
        <f t="shared" si="10"/>
        <v>0.02</v>
      </c>
      <c r="P145" s="35">
        <f t="shared" si="11"/>
        <v>0.98</v>
      </c>
    </row>
    <row r="146" spans="4:16">
      <c r="D146" s="25" t="s">
        <v>1218</v>
      </c>
      <c r="E146" s="25" t="s">
        <v>1219</v>
      </c>
      <c r="F146" s="27">
        <v>85065142</v>
      </c>
      <c r="G146" s="27">
        <v>54441690.880000003</v>
      </c>
      <c r="H146" s="27">
        <v>2722084.5440000002</v>
      </c>
      <c r="I146" s="44">
        <v>49827</v>
      </c>
      <c r="J146" s="25" t="s">
        <v>99</v>
      </c>
      <c r="K146" s="25" t="s">
        <v>56</v>
      </c>
      <c r="L146" s="25" t="s">
        <v>95</v>
      </c>
      <c r="M146" s="45">
        <f t="shared" ca="1" si="8"/>
        <v>208</v>
      </c>
      <c r="N146" s="34" t="str">
        <f t="shared" ca="1" si="9"/>
        <v>90+</v>
      </c>
      <c r="O146" s="34">
        <f t="shared" si="10"/>
        <v>0.05</v>
      </c>
      <c r="P146" s="35">
        <f t="shared" si="11"/>
        <v>0.95</v>
      </c>
    </row>
    <row r="147" spans="4:16">
      <c r="D147" s="25" t="s">
        <v>1220</v>
      </c>
      <c r="E147" s="25" t="s">
        <v>1221</v>
      </c>
      <c r="F147" s="27">
        <v>14843156</v>
      </c>
      <c r="G147" s="27">
        <v>7124714.8799999999</v>
      </c>
      <c r="H147" s="27">
        <v>2137414.4640000002</v>
      </c>
      <c r="I147" s="44">
        <v>49857</v>
      </c>
      <c r="J147" s="25" t="s">
        <v>52</v>
      </c>
      <c r="K147" s="25" t="s">
        <v>94</v>
      </c>
      <c r="L147" s="25" t="s">
        <v>95</v>
      </c>
      <c r="M147" s="45">
        <f t="shared" ca="1" si="8"/>
        <v>319</v>
      </c>
      <c r="N147" s="34" t="str">
        <f t="shared" ca="1" si="9"/>
        <v>90+</v>
      </c>
      <c r="O147" s="34">
        <f t="shared" si="10"/>
        <v>0.30000000000000004</v>
      </c>
      <c r="P147" s="35">
        <f t="shared" si="11"/>
        <v>0.7</v>
      </c>
    </row>
    <row r="148" spans="4:16">
      <c r="D148" s="25" t="s">
        <v>1222</v>
      </c>
      <c r="E148" s="25" t="s">
        <v>1223</v>
      </c>
      <c r="F148" s="27">
        <v>13594343</v>
      </c>
      <c r="G148" s="27">
        <v>11963021.84</v>
      </c>
      <c r="H148" s="27">
        <v>6220771.3567999993</v>
      </c>
      <c r="I148" s="44">
        <v>49888</v>
      </c>
      <c r="J148" s="25" t="s">
        <v>99</v>
      </c>
      <c r="K148" s="25" t="s">
        <v>109</v>
      </c>
      <c r="L148" s="25" t="s">
        <v>110</v>
      </c>
      <c r="M148" s="45">
        <f t="shared" ca="1" si="8"/>
        <v>151</v>
      </c>
      <c r="N148" s="34" t="str">
        <f t="shared" ca="1" si="9"/>
        <v>90+</v>
      </c>
      <c r="O148" s="34">
        <f t="shared" si="10"/>
        <v>0.51999999999999991</v>
      </c>
      <c r="P148" s="35">
        <f t="shared" si="11"/>
        <v>0.48000000000000009</v>
      </c>
    </row>
    <row r="149" spans="4:16">
      <c r="D149" s="25" t="s">
        <v>1224</v>
      </c>
      <c r="E149" s="25" t="s">
        <v>1225</v>
      </c>
      <c r="F149" s="27">
        <v>100177187</v>
      </c>
      <c r="G149" s="27">
        <v>91161240.170000002</v>
      </c>
      <c r="H149" s="27">
        <v>57431581.307099998</v>
      </c>
      <c r="I149" s="44">
        <v>49919</v>
      </c>
      <c r="J149" s="25" t="s">
        <v>52</v>
      </c>
      <c r="K149" s="25" t="s">
        <v>94</v>
      </c>
      <c r="L149" s="25" t="s">
        <v>138</v>
      </c>
      <c r="M149" s="45">
        <f t="shared" ca="1" si="8"/>
        <v>56</v>
      </c>
      <c r="N149" s="34" t="str">
        <f t="shared" ca="1" si="9"/>
        <v>31-60</v>
      </c>
      <c r="O149" s="34">
        <f t="shared" si="10"/>
        <v>0.63</v>
      </c>
      <c r="P149" s="35">
        <f t="shared" si="11"/>
        <v>0.37</v>
      </c>
    </row>
    <row r="150" spans="4:16">
      <c r="D150" s="25" t="s">
        <v>1226</v>
      </c>
      <c r="E150" s="25" t="s">
        <v>1227</v>
      </c>
      <c r="F150" s="27">
        <v>32683096</v>
      </c>
      <c r="G150" s="27">
        <v>12092745.52</v>
      </c>
      <c r="H150" s="27">
        <v>7013792.4015999995</v>
      </c>
      <c r="I150" s="44">
        <v>49949</v>
      </c>
      <c r="J150" s="25" t="s">
        <v>52</v>
      </c>
      <c r="K150" s="25" t="s">
        <v>89</v>
      </c>
      <c r="L150" s="25" t="s">
        <v>138</v>
      </c>
      <c r="M150" s="45">
        <f t="shared" ca="1" si="8"/>
        <v>103</v>
      </c>
      <c r="N150" s="34" t="str">
        <f t="shared" ca="1" si="9"/>
        <v>90+</v>
      </c>
      <c r="O150" s="34">
        <f t="shared" si="10"/>
        <v>0.57999999999999996</v>
      </c>
      <c r="P150" s="35">
        <f t="shared" si="11"/>
        <v>0.42000000000000004</v>
      </c>
    </row>
    <row r="151" spans="4:16">
      <c r="D151" s="25" t="s">
        <v>1228</v>
      </c>
      <c r="E151" s="25" t="s">
        <v>1229</v>
      </c>
      <c r="F151" s="27">
        <v>70742031</v>
      </c>
      <c r="G151" s="27">
        <v>30419073.329999998</v>
      </c>
      <c r="H151" s="27">
        <v>2737716.5996999997</v>
      </c>
      <c r="I151" s="44">
        <v>49980</v>
      </c>
      <c r="J151" s="25" t="s">
        <v>99</v>
      </c>
      <c r="K151" s="25" t="s">
        <v>56</v>
      </c>
      <c r="L151" s="25" t="s">
        <v>95</v>
      </c>
      <c r="M151" s="45">
        <f t="shared" ca="1" si="8"/>
        <v>254</v>
      </c>
      <c r="N151" s="34" t="str">
        <f t="shared" ca="1" si="9"/>
        <v>90+</v>
      </c>
      <c r="O151" s="34">
        <f t="shared" si="10"/>
        <v>0.09</v>
      </c>
      <c r="P151" s="35">
        <f t="shared" si="11"/>
        <v>0.91</v>
      </c>
    </row>
    <row r="152" spans="4:16">
      <c r="D152" s="25" t="s">
        <v>1230</v>
      </c>
      <c r="E152" s="25" t="s">
        <v>1231</v>
      </c>
      <c r="F152" s="27">
        <v>91397317</v>
      </c>
      <c r="G152" s="27">
        <v>12795624.380000001</v>
      </c>
      <c r="H152" s="27">
        <v>7037593.4090000009</v>
      </c>
      <c r="I152" s="44">
        <v>50010</v>
      </c>
      <c r="J152" s="25" t="s">
        <v>133</v>
      </c>
      <c r="K152" s="25" t="s">
        <v>125</v>
      </c>
      <c r="L152" s="25" t="s">
        <v>110</v>
      </c>
      <c r="M152" s="45">
        <f t="shared" ca="1" si="8"/>
        <v>229</v>
      </c>
      <c r="N152" s="34" t="str">
        <f t="shared" ca="1" si="9"/>
        <v>90+</v>
      </c>
      <c r="O152" s="34">
        <f t="shared" si="10"/>
        <v>0.55000000000000004</v>
      </c>
      <c r="P152" s="35">
        <f t="shared" si="11"/>
        <v>0.44999999999999996</v>
      </c>
    </row>
    <row r="153" spans="4:16">
      <c r="D153" s="25" t="s">
        <v>1232</v>
      </c>
      <c r="E153" s="25" t="s">
        <v>1233</v>
      </c>
      <c r="F153" s="27">
        <v>49866275</v>
      </c>
      <c r="G153" s="27">
        <v>24933137.5</v>
      </c>
      <c r="H153" s="27">
        <v>6981278.5</v>
      </c>
      <c r="I153" s="44">
        <v>50041</v>
      </c>
      <c r="J153" s="25" t="s">
        <v>52</v>
      </c>
      <c r="K153" s="25" t="s">
        <v>56</v>
      </c>
      <c r="L153" s="25" t="s">
        <v>90</v>
      </c>
      <c r="M153" s="45">
        <f t="shared" ca="1" si="8"/>
        <v>71</v>
      </c>
      <c r="N153" s="34" t="str">
        <f t="shared" ca="1" si="9"/>
        <v>61-90</v>
      </c>
      <c r="O153" s="34">
        <f t="shared" si="10"/>
        <v>0.28000000000000003</v>
      </c>
      <c r="P153" s="35">
        <f t="shared" si="11"/>
        <v>0.72</v>
      </c>
    </row>
    <row r="154" spans="4:16">
      <c r="D154" s="25" t="s">
        <v>1234</v>
      </c>
      <c r="E154" s="25" t="s">
        <v>1235</v>
      </c>
      <c r="F154" s="27">
        <v>180204953</v>
      </c>
      <c r="G154" s="27">
        <v>82894278.379999995</v>
      </c>
      <c r="H154" s="27">
        <v>46420795.892799996</v>
      </c>
      <c r="I154" s="44">
        <v>50072</v>
      </c>
      <c r="J154" s="25" t="s">
        <v>52</v>
      </c>
      <c r="K154" s="25" t="s">
        <v>109</v>
      </c>
      <c r="L154" s="25" t="s">
        <v>110</v>
      </c>
      <c r="M154" s="45">
        <f t="shared" ca="1" si="8"/>
        <v>144</v>
      </c>
      <c r="N154" s="34" t="str">
        <f t="shared" ca="1" si="9"/>
        <v>90+</v>
      </c>
      <c r="O154" s="34">
        <f t="shared" si="10"/>
        <v>0.55999999999999994</v>
      </c>
      <c r="P154" s="35">
        <f t="shared" si="11"/>
        <v>0.44000000000000006</v>
      </c>
    </row>
    <row r="155" spans="4:16">
      <c r="D155" s="25" t="s">
        <v>1236</v>
      </c>
      <c r="E155" s="25" t="s">
        <v>1237</v>
      </c>
      <c r="F155" s="27">
        <v>35049551</v>
      </c>
      <c r="G155" s="27">
        <v>29441622.84</v>
      </c>
      <c r="H155" s="27">
        <v>12071065.364400001</v>
      </c>
      <c r="I155" s="44">
        <v>50100</v>
      </c>
      <c r="J155" s="25" t="s">
        <v>52</v>
      </c>
      <c r="K155" s="25" t="s">
        <v>125</v>
      </c>
      <c r="L155" s="25" t="s">
        <v>138</v>
      </c>
      <c r="M155" s="45">
        <f t="shared" ca="1" si="8"/>
        <v>313</v>
      </c>
      <c r="N155" s="34" t="str">
        <f t="shared" ca="1" si="9"/>
        <v>90+</v>
      </c>
      <c r="O155" s="34">
        <f t="shared" si="10"/>
        <v>0.41000000000000003</v>
      </c>
      <c r="P155" s="35">
        <f t="shared" si="11"/>
        <v>0.59</v>
      </c>
    </row>
    <row r="156" spans="4:16">
      <c r="D156" s="25" t="s">
        <v>1238</v>
      </c>
      <c r="E156" s="25" t="s">
        <v>1239</v>
      </c>
      <c r="F156" s="27">
        <v>156296366</v>
      </c>
      <c r="G156" s="27">
        <v>82837073.980000004</v>
      </c>
      <c r="H156" s="27">
        <v>32306458.852200001</v>
      </c>
      <c r="I156" s="44">
        <v>50131</v>
      </c>
      <c r="J156" s="25" t="s">
        <v>52</v>
      </c>
      <c r="K156" s="25" t="s">
        <v>125</v>
      </c>
      <c r="L156" s="25" t="s">
        <v>121</v>
      </c>
      <c r="M156" s="45">
        <f t="shared" ca="1" si="8"/>
        <v>176</v>
      </c>
      <c r="N156" s="34" t="str">
        <f t="shared" ca="1" si="9"/>
        <v>90+</v>
      </c>
      <c r="O156" s="34">
        <f t="shared" si="10"/>
        <v>0.39</v>
      </c>
      <c r="P156" s="35">
        <f t="shared" si="11"/>
        <v>0.61</v>
      </c>
    </row>
    <row r="157" spans="4:16">
      <c r="D157" s="25" t="s">
        <v>1240</v>
      </c>
      <c r="E157" s="25" t="s">
        <v>1241</v>
      </c>
      <c r="F157" s="27">
        <v>105046913</v>
      </c>
      <c r="G157" s="27">
        <v>49372049.109999999</v>
      </c>
      <c r="H157" s="27">
        <v>8393248.3487</v>
      </c>
      <c r="I157" s="44">
        <v>50161</v>
      </c>
      <c r="J157" s="25" t="s">
        <v>133</v>
      </c>
      <c r="K157" s="25" t="s">
        <v>134</v>
      </c>
      <c r="L157" s="25" t="s">
        <v>121</v>
      </c>
      <c r="M157" s="45">
        <f t="shared" ca="1" si="8"/>
        <v>249</v>
      </c>
      <c r="N157" s="34" t="str">
        <f t="shared" ca="1" si="9"/>
        <v>90+</v>
      </c>
      <c r="O157" s="34">
        <f t="shared" si="10"/>
        <v>0.17</v>
      </c>
      <c r="P157" s="35">
        <f t="shared" si="11"/>
        <v>0.83</v>
      </c>
    </row>
    <row r="158" spans="4:16">
      <c r="D158" s="25" t="s">
        <v>1242</v>
      </c>
      <c r="E158" s="25" t="s">
        <v>1243</v>
      </c>
      <c r="F158" s="27">
        <v>133724095</v>
      </c>
      <c r="G158" s="27">
        <v>102967553.15000001</v>
      </c>
      <c r="H158" s="27">
        <v>47365074.449000008</v>
      </c>
      <c r="I158" s="44">
        <v>50192</v>
      </c>
      <c r="J158" s="25" t="s">
        <v>99</v>
      </c>
      <c r="K158" s="25" t="s">
        <v>134</v>
      </c>
      <c r="L158" s="25" t="s">
        <v>90</v>
      </c>
      <c r="M158" s="45">
        <f t="shared" ca="1" si="8"/>
        <v>192</v>
      </c>
      <c r="N158" s="34" t="str">
        <f t="shared" ca="1" si="9"/>
        <v>90+</v>
      </c>
      <c r="O158" s="34">
        <f t="shared" si="10"/>
        <v>0.46000000000000008</v>
      </c>
      <c r="P158" s="35">
        <f t="shared" si="11"/>
        <v>0.53999999999999992</v>
      </c>
    </row>
    <row r="159" spans="4:16">
      <c r="D159" s="25" t="s">
        <v>1244</v>
      </c>
      <c r="E159" s="25" t="s">
        <v>1245</v>
      </c>
      <c r="F159" s="27">
        <v>166654042</v>
      </c>
      <c r="G159" s="27">
        <v>23331565.879999999</v>
      </c>
      <c r="H159" s="27">
        <v>3966366.1995999999</v>
      </c>
      <c r="I159" s="44">
        <v>50222</v>
      </c>
      <c r="J159" s="25" t="s">
        <v>52</v>
      </c>
      <c r="K159" s="25" t="s">
        <v>125</v>
      </c>
      <c r="L159" s="25" t="s">
        <v>121</v>
      </c>
      <c r="M159" s="45">
        <f t="shared" ca="1" si="8"/>
        <v>174</v>
      </c>
      <c r="N159" s="34" t="str">
        <f t="shared" ca="1" si="9"/>
        <v>90+</v>
      </c>
      <c r="O159" s="34">
        <f t="shared" si="10"/>
        <v>0.17</v>
      </c>
      <c r="P159" s="35">
        <f t="shared" si="11"/>
        <v>0.83</v>
      </c>
    </row>
    <row r="160" spans="4:16">
      <c r="D160" s="25" t="s">
        <v>1246</v>
      </c>
      <c r="E160" s="25" t="s">
        <v>1247</v>
      </c>
      <c r="F160" s="27">
        <v>126586448</v>
      </c>
      <c r="G160" s="27">
        <v>116459532.16</v>
      </c>
      <c r="H160" s="27">
        <v>3493785.9648000002</v>
      </c>
      <c r="I160" s="44">
        <v>50253</v>
      </c>
      <c r="J160" s="25" t="s">
        <v>52</v>
      </c>
      <c r="K160" s="25" t="s">
        <v>134</v>
      </c>
      <c r="L160" s="25" t="s">
        <v>95</v>
      </c>
      <c r="M160" s="45">
        <f t="shared" ca="1" si="8"/>
        <v>109</v>
      </c>
      <c r="N160" s="34" t="str">
        <f t="shared" ca="1" si="9"/>
        <v>90+</v>
      </c>
      <c r="O160" s="34">
        <f t="shared" si="10"/>
        <v>3.0000000000000002E-2</v>
      </c>
      <c r="P160" s="35">
        <f t="shared" si="11"/>
        <v>0.97</v>
      </c>
    </row>
    <row r="161" spans="4:16">
      <c r="D161" s="25" t="s">
        <v>1248</v>
      </c>
      <c r="E161" s="25" t="s">
        <v>1249</v>
      </c>
      <c r="F161" s="27">
        <v>148490257</v>
      </c>
      <c r="G161" s="27">
        <v>90579056.769999996</v>
      </c>
      <c r="H161" s="27">
        <v>32608460.437199999</v>
      </c>
      <c r="I161" s="44">
        <v>50284</v>
      </c>
      <c r="J161" s="25" t="s">
        <v>99</v>
      </c>
      <c r="K161" s="25" t="s">
        <v>94</v>
      </c>
      <c r="L161" s="25" t="s">
        <v>90</v>
      </c>
      <c r="M161" s="45">
        <f t="shared" ca="1" si="8"/>
        <v>76</v>
      </c>
      <c r="N161" s="34" t="str">
        <f t="shared" ca="1" si="9"/>
        <v>61-90</v>
      </c>
      <c r="O161" s="34">
        <f t="shared" si="10"/>
        <v>0.36</v>
      </c>
      <c r="P161" s="35">
        <f t="shared" si="11"/>
        <v>0.64</v>
      </c>
    </row>
    <row r="162" spans="4:16">
      <c r="D162" s="25" t="s">
        <v>1250</v>
      </c>
      <c r="E162" s="25" t="s">
        <v>1251</v>
      </c>
      <c r="F162" s="27">
        <v>46274217</v>
      </c>
      <c r="G162" s="27">
        <v>42572279.640000001</v>
      </c>
      <c r="H162" s="27">
        <v>25117644.987600002</v>
      </c>
      <c r="I162" s="44">
        <v>50314</v>
      </c>
      <c r="J162" s="25" t="s">
        <v>99</v>
      </c>
      <c r="K162" s="25" t="s">
        <v>125</v>
      </c>
      <c r="L162" s="25" t="s">
        <v>110</v>
      </c>
      <c r="M162" s="45">
        <f t="shared" ca="1" si="8"/>
        <v>171</v>
      </c>
      <c r="N162" s="34" t="str">
        <f t="shared" ca="1" si="9"/>
        <v>90+</v>
      </c>
      <c r="O162" s="34">
        <f t="shared" si="10"/>
        <v>0.59000000000000008</v>
      </c>
      <c r="P162" s="35">
        <f t="shared" si="11"/>
        <v>0.40999999999999992</v>
      </c>
    </row>
    <row r="163" spans="4:16">
      <c r="D163" s="25" t="s">
        <v>1252</v>
      </c>
      <c r="E163" s="25" t="s">
        <v>1253</v>
      </c>
      <c r="F163" s="27">
        <v>139538329</v>
      </c>
      <c r="G163" s="27">
        <v>87909147.269999996</v>
      </c>
      <c r="H163" s="27">
        <v>57140945.725500003</v>
      </c>
      <c r="I163" s="44">
        <v>50345</v>
      </c>
      <c r="J163" s="25" t="s">
        <v>52</v>
      </c>
      <c r="K163" s="25" t="s">
        <v>94</v>
      </c>
      <c r="L163" s="25" t="s">
        <v>121</v>
      </c>
      <c r="M163" s="45">
        <f t="shared" ca="1" si="8"/>
        <v>257</v>
      </c>
      <c r="N163" s="34" t="str">
        <f t="shared" ca="1" si="9"/>
        <v>90+</v>
      </c>
      <c r="O163" s="34">
        <f t="shared" si="10"/>
        <v>0.65</v>
      </c>
      <c r="P163" s="35">
        <f t="shared" si="11"/>
        <v>0.35</v>
      </c>
    </row>
    <row r="164" spans="4:16">
      <c r="D164" s="25" t="s">
        <v>1254</v>
      </c>
      <c r="E164" s="25" t="s">
        <v>1255</v>
      </c>
      <c r="F164" s="27">
        <v>120624587</v>
      </c>
      <c r="G164" s="27">
        <v>113387111.78</v>
      </c>
      <c r="H164" s="27">
        <v>1133871.1178000001</v>
      </c>
      <c r="I164" s="44">
        <v>50375</v>
      </c>
      <c r="J164" s="25" t="s">
        <v>52</v>
      </c>
      <c r="K164" s="25" t="s">
        <v>134</v>
      </c>
      <c r="L164" s="25" t="s">
        <v>138</v>
      </c>
      <c r="M164" s="45">
        <f t="shared" ca="1" si="8"/>
        <v>344</v>
      </c>
      <c r="N164" s="34" t="str">
        <f t="shared" ca="1" si="9"/>
        <v>90+</v>
      </c>
      <c r="O164" s="34">
        <f t="shared" si="10"/>
        <v>0.01</v>
      </c>
      <c r="P164" s="35">
        <f t="shared" si="11"/>
        <v>0.99</v>
      </c>
    </row>
    <row r="165" spans="4:16">
      <c r="D165" s="25" t="s">
        <v>1256</v>
      </c>
      <c r="E165" s="25" t="s">
        <v>1257</v>
      </c>
      <c r="F165" s="27">
        <v>21045266</v>
      </c>
      <c r="G165" s="27">
        <v>19572097.379999999</v>
      </c>
      <c r="H165" s="27">
        <v>9590327.7161999997</v>
      </c>
      <c r="I165" s="44">
        <v>50406</v>
      </c>
      <c r="J165" s="25" t="s">
        <v>52</v>
      </c>
      <c r="K165" s="25" t="s">
        <v>89</v>
      </c>
      <c r="L165" s="25" t="s">
        <v>110</v>
      </c>
      <c r="M165" s="45">
        <f t="shared" ca="1" si="8"/>
        <v>315</v>
      </c>
      <c r="N165" s="34" t="str">
        <f t="shared" ca="1" si="9"/>
        <v>90+</v>
      </c>
      <c r="O165" s="34">
        <f t="shared" si="10"/>
        <v>0.49</v>
      </c>
      <c r="P165" s="35">
        <f t="shared" si="11"/>
        <v>0.51</v>
      </c>
    </row>
    <row r="166" spans="4:16">
      <c r="D166" s="25" t="s">
        <v>1258</v>
      </c>
      <c r="E166" s="25" t="s">
        <v>1259</v>
      </c>
      <c r="F166" s="27">
        <v>144765686</v>
      </c>
      <c r="G166" s="27">
        <v>89754725.319999993</v>
      </c>
      <c r="H166" s="27">
        <v>23336228.583199997</v>
      </c>
      <c r="I166" s="44">
        <v>50437</v>
      </c>
      <c r="J166" s="25" t="s">
        <v>99</v>
      </c>
      <c r="K166" s="25" t="s">
        <v>109</v>
      </c>
      <c r="L166" s="25" t="s">
        <v>95</v>
      </c>
      <c r="M166" s="45">
        <f t="shared" ca="1" si="8"/>
        <v>320</v>
      </c>
      <c r="N166" s="34" t="str">
        <f t="shared" ca="1" si="9"/>
        <v>90+</v>
      </c>
      <c r="O166" s="34">
        <f t="shared" si="10"/>
        <v>0.26</v>
      </c>
      <c r="P166" s="35">
        <f t="shared" si="11"/>
        <v>0.74</v>
      </c>
    </row>
    <row r="167" spans="4:16">
      <c r="D167" s="25" t="s">
        <v>1260</v>
      </c>
      <c r="E167" s="25" t="s">
        <v>1261</v>
      </c>
      <c r="F167" s="27">
        <v>193570564</v>
      </c>
      <c r="G167" s="27">
        <v>50328346.640000001</v>
      </c>
      <c r="H167" s="27">
        <v>4529551.1975999996</v>
      </c>
      <c r="I167" s="44">
        <v>50465</v>
      </c>
      <c r="J167" s="25" t="s">
        <v>99</v>
      </c>
      <c r="K167" s="25" t="s">
        <v>134</v>
      </c>
      <c r="L167" s="25" t="s">
        <v>90</v>
      </c>
      <c r="M167" s="45">
        <f t="shared" ca="1" si="8"/>
        <v>124</v>
      </c>
      <c r="N167" s="34" t="str">
        <f t="shared" ca="1" si="9"/>
        <v>90+</v>
      </c>
      <c r="O167" s="34">
        <f t="shared" si="10"/>
        <v>0.09</v>
      </c>
      <c r="P167" s="35">
        <f t="shared" si="11"/>
        <v>0.91</v>
      </c>
    </row>
    <row r="168" spans="4:16">
      <c r="D168" s="25" t="s">
        <v>1262</v>
      </c>
      <c r="E168" s="25" t="s">
        <v>1263</v>
      </c>
      <c r="F168" s="27">
        <v>49022256</v>
      </c>
      <c r="G168" s="27">
        <v>19608902.399999999</v>
      </c>
      <c r="H168" s="27">
        <v>8627917.0559999999</v>
      </c>
      <c r="I168" s="44">
        <v>50496</v>
      </c>
      <c r="J168" s="25" t="s">
        <v>52</v>
      </c>
      <c r="K168" s="25" t="s">
        <v>109</v>
      </c>
      <c r="L168" s="25" t="s">
        <v>138</v>
      </c>
      <c r="M168" s="45">
        <f t="shared" ca="1" si="8"/>
        <v>199</v>
      </c>
      <c r="N168" s="34" t="str">
        <f t="shared" ca="1" si="9"/>
        <v>90+</v>
      </c>
      <c r="O168" s="34">
        <f t="shared" si="10"/>
        <v>0.44</v>
      </c>
      <c r="P168" s="35">
        <f t="shared" si="11"/>
        <v>0.56000000000000005</v>
      </c>
    </row>
    <row r="169" spans="4:16">
      <c r="D169" s="25" t="s">
        <v>1264</v>
      </c>
      <c r="E169" s="25" t="s">
        <v>1265</v>
      </c>
      <c r="F169" s="27">
        <v>85608178</v>
      </c>
      <c r="G169" s="27">
        <v>27394616.960000001</v>
      </c>
      <c r="H169" s="27">
        <v>6300761.9008000009</v>
      </c>
      <c r="I169" s="44">
        <v>50526</v>
      </c>
      <c r="J169" s="25" t="s">
        <v>99</v>
      </c>
      <c r="K169" s="25" t="s">
        <v>125</v>
      </c>
      <c r="L169" s="25" t="s">
        <v>114</v>
      </c>
      <c r="M169" s="45">
        <f t="shared" ca="1" si="8"/>
        <v>123</v>
      </c>
      <c r="N169" s="34" t="str">
        <f t="shared" ca="1" si="9"/>
        <v>90+</v>
      </c>
      <c r="O169" s="34">
        <f t="shared" si="10"/>
        <v>0.23000000000000004</v>
      </c>
      <c r="P169" s="35">
        <f t="shared" si="11"/>
        <v>0.77</v>
      </c>
    </row>
    <row r="170" spans="4:16">
      <c r="D170" s="25" t="s">
        <v>1266</v>
      </c>
      <c r="E170" s="25" t="s">
        <v>1267</v>
      </c>
      <c r="F170" s="27">
        <v>88551863</v>
      </c>
      <c r="G170" s="27">
        <v>12397260.82</v>
      </c>
      <c r="H170" s="27">
        <v>3099315.2050000001</v>
      </c>
      <c r="I170" s="44">
        <v>50557</v>
      </c>
      <c r="J170" s="25" t="s">
        <v>133</v>
      </c>
      <c r="K170" s="25" t="s">
        <v>56</v>
      </c>
      <c r="L170" s="25" t="s">
        <v>90</v>
      </c>
      <c r="M170" s="45">
        <f t="shared" ca="1" si="8"/>
        <v>82</v>
      </c>
      <c r="N170" s="34" t="str">
        <f t="shared" ca="1" si="9"/>
        <v>61-90</v>
      </c>
      <c r="O170" s="34">
        <f t="shared" si="10"/>
        <v>0.25</v>
      </c>
      <c r="P170" s="35">
        <f t="shared" si="11"/>
        <v>0.75</v>
      </c>
    </row>
    <row r="171" spans="4:16">
      <c r="D171" s="25" t="s">
        <v>1268</v>
      </c>
      <c r="E171" s="25" t="s">
        <v>1269</v>
      </c>
      <c r="F171" s="27">
        <v>195755700</v>
      </c>
      <c r="G171" s="27">
        <v>140944104</v>
      </c>
      <c r="H171" s="27">
        <v>26779379.760000002</v>
      </c>
      <c r="I171" s="44">
        <v>50587</v>
      </c>
      <c r="J171" s="25" t="s">
        <v>52</v>
      </c>
      <c r="K171" s="25" t="s">
        <v>125</v>
      </c>
      <c r="L171" s="25" t="s">
        <v>138</v>
      </c>
      <c r="M171" s="45">
        <f t="shared" ca="1" si="8"/>
        <v>97</v>
      </c>
      <c r="N171" s="34" t="str">
        <f t="shared" ca="1" si="9"/>
        <v>90+</v>
      </c>
      <c r="O171" s="34">
        <f t="shared" si="10"/>
        <v>0.19</v>
      </c>
      <c r="P171" s="35">
        <f t="shared" si="11"/>
        <v>0.81</v>
      </c>
    </row>
    <row r="172" spans="4:16">
      <c r="D172" s="25" t="s">
        <v>1270</v>
      </c>
      <c r="E172" s="25" t="s">
        <v>1271</v>
      </c>
      <c r="F172" s="27">
        <v>42349134</v>
      </c>
      <c r="G172" s="27">
        <v>31338359.16</v>
      </c>
      <c r="H172" s="27">
        <v>3133835.9160000002</v>
      </c>
      <c r="I172" s="44">
        <v>50618</v>
      </c>
      <c r="J172" s="25" t="s">
        <v>52</v>
      </c>
      <c r="K172" s="25" t="s">
        <v>56</v>
      </c>
      <c r="L172" s="25" t="s">
        <v>114</v>
      </c>
      <c r="M172" s="45">
        <f t="shared" ca="1" si="8"/>
        <v>336</v>
      </c>
      <c r="N172" s="34" t="str">
        <f t="shared" ca="1" si="9"/>
        <v>90+</v>
      </c>
      <c r="O172" s="34">
        <f t="shared" si="10"/>
        <v>0.1</v>
      </c>
      <c r="P172" s="35">
        <f t="shared" si="11"/>
        <v>0.9</v>
      </c>
    </row>
    <row r="173" spans="4:16">
      <c r="D173" s="25" t="s">
        <v>1272</v>
      </c>
      <c r="E173" s="25" t="s">
        <v>1273</v>
      </c>
      <c r="F173" s="27">
        <v>120557704</v>
      </c>
      <c r="G173" s="27">
        <v>33756157.119999997</v>
      </c>
      <c r="H173" s="27">
        <v>13840024.419199998</v>
      </c>
      <c r="I173" s="44">
        <v>50649</v>
      </c>
      <c r="J173" s="25" t="s">
        <v>99</v>
      </c>
      <c r="K173" s="25" t="s">
        <v>56</v>
      </c>
      <c r="L173" s="25" t="s">
        <v>121</v>
      </c>
      <c r="M173" s="45">
        <f t="shared" ca="1" si="8"/>
        <v>333</v>
      </c>
      <c r="N173" s="34" t="str">
        <f t="shared" ca="1" si="9"/>
        <v>90+</v>
      </c>
      <c r="O173" s="34">
        <f t="shared" si="10"/>
        <v>0.41</v>
      </c>
      <c r="P173" s="35">
        <f t="shared" si="11"/>
        <v>0.59000000000000008</v>
      </c>
    </row>
    <row r="174" spans="4:16">
      <c r="D174" s="25" t="s">
        <v>1274</v>
      </c>
      <c r="E174" s="25" t="s">
        <v>1275</v>
      </c>
      <c r="F174" s="27">
        <v>118988426</v>
      </c>
      <c r="G174" s="27">
        <v>42835833.359999999</v>
      </c>
      <c r="H174" s="27">
        <v>13279108.341600001</v>
      </c>
      <c r="I174" s="44">
        <v>50679</v>
      </c>
      <c r="J174" s="25" t="s">
        <v>133</v>
      </c>
      <c r="K174" s="25" t="s">
        <v>125</v>
      </c>
      <c r="L174" s="25" t="s">
        <v>95</v>
      </c>
      <c r="M174" s="45">
        <f t="shared" ca="1" si="8"/>
        <v>80</v>
      </c>
      <c r="N174" s="34" t="str">
        <f t="shared" ca="1" si="9"/>
        <v>61-90</v>
      </c>
      <c r="O174" s="34">
        <f t="shared" si="10"/>
        <v>0.31</v>
      </c>
      <c r="P174" s="35">
        <f t="shared" si="11"/>
        <v>0.69</v>
      </c>
    </row>
    <row r="175" spans="4:16">
      <c r="D175" s="25" t="s">
        <v>1276</v>
      </c>
      <c r="E175" s="25" t="s">
        <v>1277</v>
      </c>
      <c r="F175" s="27">
        <v>87241577</v>
      </c>
      <c r="G175" s="27">
        <v>66303598.520000003</v>
      </c>
      <c r="H175" s="27">
        <v>11271611.748400001</v>
      </c>
      <c r="I175" s="44">
        <v>50710</v>
      </c>
      <c r="J175" s="25" t="s">
        <v>99</v>
      </c>
      <c r="K175" s="25" t="s">
        <v>89</v>
      </c>
      <c r="L175" s="25" t="s">
        <v>95</v>
      </c>
      <c r="M175" s="45">
        <f t="shared" ca="1" si="8"/>
        <v>326</v>
      </c>
      <c r="N175" s="34" t="str">
        <f t="shared" ca="1" si="9"/>
        <v>90+</v>
      </c>
      <c r="O175" s="34">
        <f t="shared" si="10"/>
        <v>0.17</v>
      </c>
      <c r="P175" s="35">
        <f t="shared" si="11"/>
        <v>0.83</v>
      </c>
    </row>
    <row r="176" spans="4:16">
      <c r="D176" s="25" t="s">
        <v>1278</v>
      </c>
      <c r="E176" s="25" t="s">
        <v>1279</v>
      </c>
      <c r="F176" s="27">
        <v>16795306</v>
      </c>
      <c r="G176" s="27">
        <v>13100338.68</v>
      </c>
      <c r="H176" s="27">
        <v>1703044.0284</v>
      </c>
      <c r="I176" s="44">
        <v>50740</v>
      </c>
      <c r="J176" s="25" t="s">
        <v>52</v>
      </c>
      <c r="K176" s="25" t="s">
        <v>56</v>
      </c>
      <c r="L176" s="25" t="s">
        <v>95</v>
      </c>
      <c r="M176" s="45">
        <f t="shared" ca="1" si="8"/>
        <v>122</v>
      </c>
      <c r="N176" s="34" t="str">
        <f t="shared" ca="1" si="9"/>
        <v>90+</v>
      </c>
      <c r="O176" s="34">
        <f t="shared" si="10"/>
        <v>0.13</v>
      </c>
      <c r="P176" s="35">
        <f t="shared" si="11"/>
        <v>0.87</v>
      </c>
    </row>
    <row r="177" spans="4:16">
      <c r="D177" s="25" t="s">
        <v>1280</v>
      </c>
      <c r="E177" s="25" t="s">
        <v>1281</v>
      </c>
      <c r="F177" s="27">
        <v>6912740</v>
      </c>
      <c r="G177" s="27">
        <v>6497975.5999999996</v>
      </c>
      <c r="H177" s="27">
        <v>2209311.7039999999</v>
      </c>
      <c r="I177" s="44">
        <v>50771</v>
      </c>
      <c r="J177" s="25" t="s">
        <v>52</v>
      </c>
      <c r="K177" s="25" t="s">
        <v>56</v>
      </c>
      <c r="L177" s="25" t="s">
        <v>95</v>
      </c>
      <c r="M177" s="45">
        <f t="shared" ca="1" si="8"/>
        <v>104</v>
      </c>
      <c r="N177" s="34" t="str">
        <f t="shared" ca="1" si="9"/>
        <v>90+</v>
      </c>
      <c r="O177" s="34">
        <f t="shared" si="10"/>
        <v>0.34</v>
      </c>
      <c r="P177" s="35">
        <f t="shared" si="11"/>
        <v>0.65999999999999992</v>
      </c>
    </row>
    <row r="178" spans="4:16">
      <c r="D178" s="25" t="s">
        <v>1282</v>
      </c>
      <c r="E178" s="25" t="s">
        <v>1283</v>
      </c>
      <c r="F178" s="27">
        <v>145209073</v>
      </c>
      <c r="G178" s="27">
        <v>65344082.850000001</v>
      </c>
      <c r="H178" s="27">
        <v>18296343.197999999</v>
      </c>
      <c r="I178" s="44">
        <v>50802</v>
      </c>
      <c r="J178" s="25" t="s">
        <v>52</v>
      </c>
      <c r="K178" s="25" t="s">
        <v>94</v>
      </c>
      <c r="L178" s="25" t="s">
        <v>95</v>
      </c>
      <c r="M178" s="45">
        <f t="shared" ca="1" si="8"/>
        <v>336</v>
      </c>
      <c r="N178" s="34" t="str">
        <f t="shared" ca="1" si="9"/>
        <v>90+</v>
      </c>
      <c r="O178" s="34">
        <f t="shared" si="10"/>
        <v>0.27999999999999997</v>
      </c>
      <c r="P178" s="35">
        <f t="shared" si="11"/>
        <v>0.72</v>
      </c>
    </row>
    <row r="179" spans="4:16">
      <c r="D179" s="25" t="s">
        <v>1284</v>
      </c>
      <c r="E179" s="25" t="s">
        <v>1285</v>
      </c>
      <c r="F179" s="27">
        <v>35261566</v>
      </c>
      <c r="G179" s="27">
        <v>10931085.460000001</v>
      </c>
      <c r="H179" s="27">
        <v>5465542.7300000004</v>
      </c>
      <c r="I179" s="44">
        <v>50830</v>
      </c>
      <c r="J179" s="25" t="s">
        <v>52</v>
      </c>
      <c r="K179" s="25" t="s">
        <v>56</v>
      </c>
      <c r="L179" s="25" t="s">
        <v>114</v>
      </c>
      <c r="M179" s="45">
        <f t="shared" ca="1" si="8"/>
        <v>131</v>
      </c>
      <c r="N179" s="34" t="str">
        <f t="shared" ca="1" si="9"/>
        <v>90+</v>
      </c>
      <c r="O179" s="34">
        <f t="shared" si="10"/>
        <v>0.5</v>
      </c>
      <c r="P179" s="35">
        <f t="shared" si="11"/>
        <v>0.5</v>
      </c>
    </row>
    <row r="180" spans="4:16">
      <c r="D180" s="25" t="s">
        <v>1286</v>
      </c>
      <c r="E180" s="25" t="s">
        <v>1287</v>
      </c>
      <c r="F180" s="27">
        <v>162830204</v>
      </c>
      <c r="G180" s="27">
        <v>123750955.04000001</v>
      </c>
      <c r="H180" s="27">
        <v>12375095.504000001</v>
      </c>
      <c r="I180" s="44">
        <v>50861</v>
      </c>
      <c r="J180" s="25" t="s">
        <v>99</v>
      </c>
      <c r="K180" s="25" t="s">
        <v>56</v>
      </c>
      <c r="L180" s="25" t="s">
        <v>138</v>
      </c>
      <c r="M180" s="45">
        <f t="shared" ca="1" si="8"/>
        <v>225</v>
      </c>
      <c r="N180" s="34" t="str">
        <f t="shared" ca="1" si="9"/>
        <v>90+</v>
      </c>
      <c r="O180" s="34">
        <f t="shared" si="10"/>
        <v>0.1</v>
      </c>
      <c r="P180" s="35">
        <f t="shared" si="11"/>
        <v>0.9</v>
      </c>
    </row>
    <row r="181" spans="4:16">
      <c r="D181" s="25" t="s">
        <v>1288</v>
      </c>
      <c r="E181" s="25" t="s">
        <v>1289</v>
      </c>
      <c r="F181" s="27">
        <v>90079124</v>
      </c>
      <c r="G181" s="27">
        <v>45039562</v>
      </c>
      <c r="H181" s="27">
        <v>13511868.6</v>
      </c>
      <c r="I181" s="44">
        <v>50891</v>
      </c>
      <c r="J181" s="25" t="s">
        <v>52</v>
      </c>
      <c r="K181" s="25" t="s">
        <v>89</v>
      </c>
      <c r="L181" s="25" t="s">
        <v>121</v>
      </c>
      <c r="M181" s="45">
        <f t="shared" ca="1" si="8"/>
        <v>235</v>
      </c>
      <c r="N181" s="34" t="str">
        <f t="shared" ca="1" si="9"/>
        <v>90+</v>
      </c>
      <c r="O181" s="34">
        <f t="shared" si="10"/>
        <v>0.3</v>
      </c>
      <c r="P181" s="35">
        <f t="shared" si="11"/>
        <v>0.7</v>
      </c>
    </row>
    <row r="182" spans="4:16">
      <c r="D182" s="25" t="s">
        <v>1290</v>
      </c>
      <c r="E182" s="25" t="s">
        <v>1291</v>
      </c>
      <c r="F182" s="27">
        <v>120659060</v>
      </c>
      <c r="G182" s="27">
        <v>37404308.600000001</v>
      </c>
      <c r="H182" s="27">
        <v>3740430.86</v>
      </c>
      <c r="I182" s="44">
        <v>50922</v>
      </c>
      <c r="J182" s="25" t="s">
        <v>99</v>
      </c>
      <c r="K182" s="25" t="s">
        <v>89</v>
      </c>
      <c r="L182" s="25" t="s">
        <v>138</v>
      </c>
      <c r="M182" s="45">
        <f t="shared" ca="1" si="8"/>
        <v>184</v>
      </c>
      <c r="N182" s="34" t="str">
        <f t="shared" ca="1" si="9"/>
        <v>90+</v>
      </c>
      <c r="O182" s="34">
        <f t="shared" si="10"/>
        <v>9.9999999999999992E-2</v>
      </c>
      <c r="P182" s="35">
        <f t="shared" si="11"/>
        <v>0.9</v>
      </c>
    </row>
    <row r="183" spans="4:16">
      <c r="D183" s="25" t="s">
        <v>1292</v>
      </c>
      <c r="E183" s="25" t="s">
        <v>1293</v>
      </c>
      <c r="F183" s="27">
        <v>95776875</v>
      </c>
      <c r="G183" s="27">
        <v>26817525</v>
      </c>
      <c r="H183" s="27">
        <v>8849783.25</v>
      </c>
      <c r="I183" s="44">
        <v>50952</v>
      </c>
      <c r="J183" s="25" t="s">
        <v>133</v>
      </c>
      <c r="K183" s="25" t="s">
        <v>94</v>
      </c>
      <c r="L183" s="25" t="s">
        <v>110</v>
      </c>
      <c r="M183" s="45">
        <f t="shared" ca="1" si="8"/>
        <v>52</v>
      </c>
      <c r="N183" s="34" t="str">
        <f t="shared" ca="1" si="9"/>
        <v>31-60</v>
      </c>
      <c r="O183" s="34">
        <f t="shared" si="10"/>
        <v>0.33</v>
      </c>
      <c r="P183" s="35">
        <f t="shared" si="11"/>
        <v>0.66999999999999993</v>
      </c>
    </row>
    <row r="184" spans="4:16">
      <c r="D184" s="25" t="s">
        <v>1294</v>
      </c>
      <c r="E184" s="25" t="s">
        <v>1295</v>
      </c>
      <c r="F184" s="27">
        <v>80671753</v>
      </c>
      <c r="G184" s="27">
        <v>18554503.190000001</v>
      </c>
      <c r="H184" s="27">
        <v>5195260.8932000007</v>
      </c>
      <c r="I184" s="44">
        <v>50983</v>
      </c>
      <c r="J184" s="25" t="s">
        <v>133</v>
      </c>
      <c r="K184" s="25" t="s">
        <v>134</v>
      </c>
      <c r="L184" s="25" t="s">
        <v>95</v>
      </c>
      <c r="M184" s="45">
        <f t="shared" ca="1" si="8"/>
        <v>110</v>
      </c>
      <c r="N184" s="34" t="str">
        <f t="shared" ca="1" si="9"/>
        <v>90+</v>
      </c>
      <c r="O184" s="34">
        <f t="shared" si="10"/>
        <v>0.28000000000000003</v>
      </c>
      <c r="P184" s="35">
        <f t="shared" si="11"/>
        <v>0.72</v>
      </c>
    </row>
    <row r="185" spans="4:16">
      <c r="D185" s="25" t="s">
        <v>1296</v>
      </c>
      <c r="E185" s="25" t="s">
        <v>1297</v>
      </c>
      <c r="F185" s="27">
        <v>165306628</v>
      </c>
      <c r="G185" s="27">
        <v>21489861.640000001</v>
      </c>
      <c r="H185" s="27">
        <v>1504290.3148000003</v>
      </c>
      <c r="I185" s="44">
        <v>51014</v>
      </c>
      <c r="J185" s="25" t="s">
        <v>52</v>
      </c>
      <c r="K185" s="25" t="s">
        <v>125</v>
      </c>
      <c r="L185" s="25" t="s">
        <v>114</v>
      </c>
      <c r="M185" s="45">
        <f t="shared" ca="1" si="8"/>
        <v>154</v>
      </c>
      <c r="N185" s="34" t="str">
        <f t="shared" ca="1" si="9"/>
        <v>90+</v>
      </c>
      <c r="O185" s="34">
        <f t="shared" si="10"/>
        <v>7.0000000000000007E-2</v>
      </c>
      <c r="P185" s="35">
        <f t="shared" si="11"/>
        <v>0.92999999999999994</v>
      </c>
    </row>
    <row r="186" spans="4:16">
      <c r="D186" s="25" t="s">
        <v>1298</v>
      </c>
      <c r="E186" s="25" t="s">
        <v>1299</v>
      </c>
      <c r="F186" s="27">
        <v>169493338</v>
      </c>
      <c r="G186" s="27">
        <v>30508800.84</v>
      </c>
      <c r="H186" s="27">
        <v>10372992.285599999</v>
      </c>
      <c r="I186" s="44">
        <v>51044</v>
      </c>
      <c r="J186" s="25" t="s">
        <v>133</v>
      </c>
      <c r="K186" s="25" t="s">
        <v>94</v>
      </c>
      <c r="L186" s="25" t="s">
        <v>121</v>
      </c>
      <c r="M186" s="45">
        <f t="shared" ca="1" si="8"/>
        <v>80</v>
      </c>
      <c r="N186" s="34" t="str">
        <f t="shared" ca="1" si="9"/>
        <v>61-90</v>
      </c>
      <c r="O186" s="34">
        <f t="shared" si="10"/>
        <v>0.33999999999999997</v>
      </c>
      <c r="P186" s="35">
        <f t="shared" si="11"/>
        <v>0.66</v>
      </c>
    </row>
    <row r="187" spans="4:16">
      <c r="D187" s="25" t="s">
        <v>1300</v>
      </c>
      <c r="E187" s="25" t="s">
        <v>1301</v>
      </c>
      <c r="F187" s="27">
        <v>44628527</v>
      </c>
      <c r="G187" s="27">
        <v>4909137.97</v>
      </c>
      <c r="H187" s="27">
        <v>2700025.8834999995</v>
      </c>
      <c r="I187" s="44">
        <v>51075</v>
      </c>
      <c r="J187" s="25" t="s">
        <v>52</v>
      </c>
      <c r="K187" s="25" t="s">
        <v>94</v>
      </c>
      <c r="L187" s="25" t="s">
        <v>95</v>
      </c>
      <c r="M187" s="45">
        <f t="shared" ca="1" si="8"/>
        <v>360</v>
      </c>
      <c r="N187" s="34" t="str">
        <f t="shared" ca="1" si="9"/>
        <v>90+</v>
      </c>
      <c r="O187" s="34">
        <f t="shared" si="10"/>
        <v>0.54999999999999993</v>
      </c>
      <c r="P187" s="35">
        <f t="shared" si="11"/>
        <v>0.45000000000000007</v>
      </c>
    </row>
    <row r="188" spans="4:16">
      <c r="D188" s="25" t="s">
        <v>1302</v>
      </c>
      <c r="E188" s="25" t="s">
        <v>1303</v>
      </c>
      <c r="F188" s="27">
        <v>153769526</v>
      </c>
      <c r="G188" s="27">
        <v>99950191.900000006</v>
      </c>
      <c r="H188" s="27">
        <v>26986551.813000001</v>
      </c>
      <c r="I188" s="44">
        <v>51105</v>
      </c>
      <c r="J188" s="25" t="s">
        <v>52</v>
      </c>
      <c r="K188" s="25" t="s">
        <v>89</v>
      </c>
      <c r="L188" s="25" t="s">
        <v>110</v>
      </c>
      <c r="M188" s="45">
        <f t="shared" ca="1" si="8"/>
        <v>287</v>
      </c>
      <c r="N188" s="34" t="str">
        <f t="shared" ca="1" si="9"/>
        <v>90+</v>
      </c>
      <c r="O188" s="34">
        <f t="shared" si="10"/>
        <v>0.27</v>
      </c>
      <c r="P188" s="35">
        <f t="shared" si="11"/>
        <v>0.73</v>
      </c>
    </row>
    <row r="189" spans="4:16">
      <c r="D189" s="25" t="s">
        <v>1304</v>
      </c>
      <c r="E189" s="25" t="s">
        <v>1305</v>
      </c>
      <c r="F189" s="27">
        <v>107602182</v>
      </c>
      <c r="G189" s="27">
        <v>41964850.979999997</v>
      </c>
      <c r="H189" s="27">
        <v>9232267.2155999988</v>
      </c>
      <c r="I189" s="44">
        <v>51136</v>
      </c>
      <c r="J189" s="25" t="s">
        <v>99</v>
      </c>
      <c r="K189" s="25" t="s">
        <v>134</v>
      </c>
      <c r="L189" s="25" t="s">
        <v>95</v>
      </c>
      <c r="M189" s="45">
        <f t="shared" ca="1" si="8"/>
        <v>342</v>
      </c>
      <c r="N189" s="34" t="str">
        <f t="shared" ca="1" si="9"/>
        <v>90+</v>
      </c>
      <c r="O189" s="34">
        <f t="shared" si="10"/>
        <v>0.22</v>
      </c>
      <c r="P189" s="35">
        <f t="shared" si="11"/>
        <v>0.78</v>
      </c>
    </row>
    <row r="190" spans="4:16">
      <c r="D190" s="25" t="s">
        <v>1306</v>
      </c>
      <c r="E190" s="25" t="s">
        <v>1307</v>
      </c>
      <c r="F190" s="27">
        <v>84774388</v>
      </c>
      <c r="G190" s="27">
        <v>66124022.640000001</v>
      </c>
      <c r="H190" s="27">
        <v>38351933.131200001</v>
      </c>
      <c r="I190" s="44">
        <v>51167</v>
      </c>
      <c r="J190" s="25" t="s">
        <v>99</v>
      </c>
      <c r="K190" s="25" t="s">
        <v>56</v>
      </c>
      <c r="L190" s="25" t="s">
        <v>95</v>
      </c>
      <c r="M190" s="45">
        <f t="shared" ca="1" si="8"/>
        <v>201</v>
      </c>
      <c r="N190" s="34" t="str">
        <f t="shared" ca="1" si="9"/>
        <v>90+</v>
      </c>
      <c r="O190" s="34">
        <f t="shared" si="10"/>
        <v>0.57999999999999996</v>
      </c>
      <c r="P190" s="35">
        <f t="shared" si="11"/>
        <v>0.42000000000000004</v>
      </c>
    </row>
    <row r="191" spans="4:16">
      <c r="D191" s="25" t="s">
        <v>1308</v>
      </c>
      <c r="E191" s="25" t="s">
        <v>1309</v>
      </c>
      <c r="F191" s="27">
        <v>50210806</v>
      </c>
      <c r="G191" s="27">
        <v>31130699.719999999</v>
      </c>
      <c r="H191" s="27">
        <v>13386200.8796</v>
      </c>
      <c r="I191" s="44">
        <v>51196</v>
      </c>
      <c r="J191" s="25" t="s">
        <v>52</v>
      </c>
      <c r="K191" s="25" t="s">
        <v>134</v>
      </c>
      <c r="L191" s="25" t="s">
        <v>110</v>
      </c>
      <c r="M191" s="45">
        <f t="shared" ca="1" si="8"/>
        <v>183</v>
      </c>
      <c r="N191" s="34" t="str">
        <f t="shared" ca="1" si="9"/>
        <v>90+</v>
      </c>
      <c r="O191" s="34">
        <f t="shared" si="10"/>
        <v>0.43</v>
      </c>
      <c r="P191" s="35">
        <f t="shared" si="11"/>
        <v>0.57000000000000006</v>
      </c>
    </row>
    <row r="192" spans="4:16">
      <c r="D192" s="25" t="s">
        <v>1310</v>
      </c>
      <c r="E192" s="25" t="s">
        <v>1311</v>
      </c>
      <c r="F192" s="27">
        <v>34569884</v>
      </c>
      <c r="G192" s="27">
        <v>12445158.24</v>
      </c>
      <c r="H192" s="27">
        <v>2613483.2303999998</v>
      </c>
      <c r="I192" s="44">
        <v>51227</v>
      </c>
      <c r="J192" s="25" t="s">
        <v>52</v>
      </c>
      <c r="K192" s="25" t="s">
        <v>109</v>
      </c>
      <c r="L192" s="25" t="s">
        <v>90</v>
      </c>
      <c r="M192" s="45">
        <f t="shared" ca="1" si="8"/>
        <v>310</v>
      </c>
      <c r="N192" s="34" t="str">
        <f t="shared" ca="1" si="9"/>
        <v>90+</v>
      </c>
      <c r="O192" s="34">
        <f t="shared" si="10"/>
        <v>0.20999999999999996</v>
      </c>
      <c r="P192" s="35">
        <f t="shared" si="11"/>
        <v>0.79</v>
      </c>
    </row>
    <row r="193" spans="4:16">
      <c r="D193" s="25" t="s">
        <v>1312</v>
      </c>
      <c r="E193" s="25" t="s">
        <v>1313</v>
      </c>
      <c r="F193" s="27">
        <v>121565575</v>
      </c>
      <c r="G193" s="27">
        <v>61998443.25</v>
      </c>
      <c r="H193" s="27">
        <v>6819828.7575000003</v>
      </c>
      <c r="I193" s="44">
        <v>51257</v>
      </c>
      <c r="J193" s="25" t="s">
        <v>99</v>
      </c>
      <c r="K193" s="25" t="s">
        <v>89</v>
      </c>
      <c r="L193" s="25" t="s">
        <v>138</v>
      </c>
      <c r="M193" s="45">
        <f t="shared" ca="1" si="8"/>
        <v>73</v>
      </c>
      <c r="N193" s="34" t="str">
        <f t="shared" ca="1" si="9"/>
        <v>61-90</v>
      </c>
      <c r="O193" s="34">
        <f t="shared" si="10"/>
        <v>0.11</v>
      </c>
      <c r="P193" s="35">
        <f t="shared" si="11"/>
        <v>0.89</v>
      </c>
    </row>
    <row r="194" spans="4:16">
      <c r="D194" s="25" t="s">
        <v>1314</v>
      </c>
      <c r="E194" s="25" t="s">
        <v>1315</v>
      </c>
      <c r="F194" s="27">
        <v>156616859</v>
      </c>
      <c r="G194" s="27">
        <v>108065632.70999999</v>
      </c>
      <c r="H194" s="27">
        <v>18371157.560699999</v>
      </c>
      <c r="I194" s="44">
        <v>51288</v>
      </c>
      <c r="J194" s="25" t="s">
        <v>52</v>
      </c>
      <c r="K194" s="25" t="s">
        <v>125</v>
      </c>
      <c r="L194" s="25" t="s">
        <v>138</v>
      </c>
      <c r="M194" s="45">
        <f t="shared" ca="1" si="8"/>
        <v>316</v>
      </c>
      <c r="N194" s="34" t="str">
        <f t="shared" ca="1" si="9"/>
        <v>90+</v>
      </c>
      <c r="O194" s="34">
        <f t="shared" si="10"/>
        <v>0.17</v>
      </c>
      <c r="P194" s="35">
        <f t="shared" si="11"/>
        <v>0.83</v>
      </c>
    </row>
    <row r="195" spans="4:16">
      <c r="D195" s="25" t="s">
        <v>1316</v>
      </c>
      <c r="E195" s="25" t="s">
        <v>1317</v>
      </c>
      <c r="F195" s="27">
        <v>79110856</v>
      </c>
      <c r="G195" s="27">
        <v>67244227.599999994</v>
      </c>
      <c r="H195" s="27">
        <v>38329209.732000001</v>
      </c>
      <c r="I195" s="44">
        <v>51318</v>
      </c>
      <c r="J195" s="25" t="s">
        <v>99</v>
      </c>
      <c r="K195" s="25" t="s">
        <v>89</v>
      </c>
      <c r="L195" s="25" t="s">
        <v>90</v>
      </c>
      <c r="M195" s="45">
        <f t="shared" ca="1" si="8"/>
        <v>314</v>
      </c>
      <c r="N195" s="34" t="str">
        <f t="shared" ca="1" si="9"/>
        <v>90+</v>
      </c>
      <c r="O195" s="34">
        <f t="shared" si="10"/>
        <v>0.57000000000000006</v>
      </c>
      <c r="P195" s="35">
        <f t="shared" si="11"/>
        <v>0.42999999999999994</v>
      </c>
    </row>
    <row r="196" spans="4:16">
      <c r="D196" s="25" t="s">
        <v>1318</v>
      </c>
      <c r="E196" s="25" t="s">
        <v>1319</v>
      </c>
      <c r="F196" s="27">
        <v>25387897</v>
      </c>
      <c r="G196" s="27">
        <v>24118502.149999999</v>
      </c>
      <c r="H196" s="27">
        <v>2170665.1935000001</v>
      </c>
      <c r="I196" s="44">
        <v>51349</v>
      </c>
      <c r="J196" s="25" t="s">
        <v>99</v>
      </c>
      <c r="K196" s="25" t="s">
        <v>89</v>
      </c>
      <c r="L196" s="25" t="s">
        <v>121</v>
      </c>
      <c r="M196" s="45">
        <f t="shared" ca="1" si="8"/>
        <v>228</v>
      </c>
      <c r="N196" s="34" t="str">
        <f t="shared" ca="1" si="9"/>
        <v>90+</v>
      </c>
      <c r="O196" s="34">
        <f t="shared" si="10"/>
        <v>9.0000000000000011E-2</v>
      </c>
      <c r="P196" s="35">
        <f t="shared" si="11"/>
        <v>0.91</v>
      </c>
    </row>
    <row r="197" spans="4:16">
      <c r="D197" s="25" t="s">
        <v>1320</v>
      </c>
      <c r="E197" s="25" t="s">
        <v>1321</v>
      </c>
      <c r="F197" s="27">
        <v>50098338</v>
      </c>
      <c r="G197" s="27">
        <v>13025567.880000001</v>
      </c>
      <c r="H197" s="27">
        <v>4689204.4368000003</v>
      </c>
      <c r="I197" s="44">
        <v>51380</v>
      </c>
      <c r="J197" s="25" t="s">
        <v>52</v>
      </c>
      <c r="K197" s="25" t="s">
        <v>56</v>
      </c>
      <c r="L197" s="25" t="s">
        <v>110</v>
      </c>
      <c r="M197" s="45">
        <f t="shared" ca="1" si="8"/>
        <v>322</v>
      </c>
      <c r="N197" s="34" t="str">
        <f t="shared" ca="1" si="9"/>
        <v>90+</v>
      </c>
      <c r="O197" s="34">
        <f t="shared" si="10"/>
        <v>0.36</v>
      </c>
      <c r="P197" s="35">
        <f t="shared" si="11"/>
        <v>0.64</v>
      </c>
    </row>
    <row r="198" spans="4:16">
      <c r="D198" s="25" t="s">
        <v>1322</v>
      </c>
      <c r="E198" s="25" t="s">
        <v>1323</v>
      </c>
      <c r="F198" s="27">
        <v>26268823</v>
      </c>
      <c r="G198" s="27">
        <v>23379252.469999999</v>
      </c>
      <c r="H198" s="27">
        <v>10754456.1362</v>
      </c>
      <c r="I198" s="44">
        <v>51410</v>
      </c>
      <c r="J198" s="25" t="s">
        <v>52</v>
      </c>
      <c r="K198" s="25" t="s">
        <v>125</v>
      </c>
      <c r="L198" s="25" t="s">
        <v>114</v>
      </c>
      <c r="M198" s="45">
        <f t="shared" ca="1" si="8"/>
        <v>229</v>
      </c>
      <c r="N198" s="34" t="str">
        <f t="shared" ca="1" si="9"/>
        <v>90+</v>
      </c>
      <c r="O198" s="34">
        <f t="shared" si="10"/>
        <v>0.46</v>
      </c>
      <c r="P198" s="35">
        <f t="shared" si="11"/>
        <v>0.54</v>
      </c>
    </row>
    <row r="199" spans="4:16">
      <c r="D199" s="25" t="s">
        <v>1324</v>
      </c>
      <c r="E199" s="25" t="s">
        <v>1325</v>
      </c>
      <c r="F199" s="27">
        <v>119594498</v>
      </c>
      <c r="G199" s="27">
        <v>105243158.23999999</v>
      </c>
      <c r="H199" s="27">
        <v>8419452.6591999996</v>
      </c>
      <c r="I199" s="44">
        <v>51441</v>
      </c>
      <c r="J199" s="25" t="s">
        <v>52</v>
      </c>
      <c r="K199" s="25" t="s">
        <v>56</v>
      </c>
      <c r="L199" s="25" t="s">
        <v>138</v>
      </c>
      <c r="M199" s="45">
        <f t="shared" ca="1" si="8"/>
        <v>116</v>
      </c>
      <c r="N199" s="34" t="str">
        <f t="shared" ca="1" si="9"/>
        <v>90+</v>
      </c>
      <c r="O199" s="34">
        <f t="shared" si="10"/>
        <v>0.08</v>
      </c>
      <c r="P199" s="35">
        <f t="shared" si="11"/>
        <v>0.92</v>
      </c>
    </row>
    <row r="200" spans="4:16">
      <c r="D200" s="25" t="s">
        <v>1326</v>
      </c>
      <c r="E200" s="25" t="s">
        <v>1327</v>
      </c>
      <c r="F200" s="27">
        <v>11443664</v>
      </c>
      <c r="G200" s="27">
        <v>9269367.8399999999</v>
      </c>
      <c r="H200" s="27">
        <v>2966197.7088000001</v>
      </c>
      <c r="I200" s="44">
        <v>51471</v>
      </c>
      <c r="J200" s="25" t="s">
        <v>52</v>
      </c>
      <c r="K200" s="25" t="s">
        <v>109</v>
      </c>
      <c r="L200" s="25" t="s">
        <v>114</v>
      </c>
      <c r="M200" s="45">
        <f t="shared" ca="1" si="8"/>
        <v>221</v>
      </c>
      <c r="N200" s="34" t="str">
        <f t="shared" ca="1" si="9"/>
        <v>90+</v>
      </c>
      <c r="O200" s="34">
        <f t="shared" si="10"/>
        <v>0.32</v>
      </c>
      <c r="P200" s="35">
        <f t="shared" si="11"/>
        <v>0.67999999999999994</v>
      </c>
    </row>
    <row r="201" spans="4:16">
      <c r="D201" s="25" t="s">
        <v>1328</v>
      </c>
      <c r="E201" s="25" t="s">
        <v>1329</v>
      </c>
      <c r="F201" s="27">
        <v>77672770</v>
      </c>
      <c r="G201" s="27">
        <v>9320732.4000000004</v>
      </c>
      <c r="H201" s="27">
        <v>4101122.2560000001</v>
      </c>
      <c r="I201" s="44">
        <v>51502</v>
      </c>
      <c r="J201" s="25" t="s">
        <v>52</v>
      </c>
      <c r="K201" s="25" t="s">
        <v>56</v>
      </c>
      <c r="L201" s="25" t="s">
        <v>110</v>
      </c>
      <c r="M201" s="45">
        <f t="shared" ref="M201:M264" ca="1" si="12">RANDBETWEEN(31,360)</f>
        <v>311</v>
      </c>
      <c r="N201" s="34" t="str">
        <f t="shared" ref="N201:N264" ca="1" si="13">IF(M201&lt;=0,"Current",
IF(M201&lt;=30,"1-30",
IF(M201&lt;=60,"31-60",
IF(M201&lt;=90,"61-90","90+"))))</f>
        <v>90+</v>
      </c>
      <c r="O201" s="34">
        <f t="shared" ref="O201:O264" si="14">H201/G201</f>
        <v>0.44</v>
      </c>
      <c r="P201" s="35">
        <f t="shared" ref="P201:P264" si="15">1-O201</f>
        <v>0.56000000000000005</v>
      </c>
    </row>
    <row r="202" spans="4:16">
      <c r="D202" s="25" t="s">
        <v>1330</v>
      </c>
      <c r="E202" s="25" t="s">
        <v>1331</v>
      </c>
      <c r="F202" s="27">
        <v>40304576</v>
      </c>
      <c r="G202" s="27">
        <v>32243660.800000001</v>
      </c>
      <c r="H202" s="27">
        <v>19346196.48</v>
      </c>
      <c r="I202" s="44">
        <v>51533</v>
      </c>
      <c r="J202" s="25" t="s">
        <v>52</v>
      </c>
      <c r="K202" s="25" t="s">
        <v>56</v>
      </c>
      <c r="L202" s="25" t="s">
        <v>110</v>
      </c>
      <c r="M202" s="45">
        <f t="shared" ca="1" si="12"/>
        <v>101</v>
      </c>
      <c r="N202" s="34" t="str">
        <f t="shared" ca="1" si="13"/>
        <v>90+</v>
      </c>
      <c r="O202" s="34">
        <f t="shared" si="14"/>
        <v>0.6</v>
      </c>
      <c r="P202" s="35">
        <f t="shared" si="15"/>
        <v>0.4</v>
      </c>
    </row>
    <row r="203" spans="4:16">
      <c r="D203" s="25" t="s">
        <v>1332</v>
      </c>
      <c r="E203" s="25" t="s">
        <v>1333</v>
      </c>
      <c r="F203" s="27">
        <v>156828074</v>
      </c>
      <c r="G203" s="27">
        <v>45480141.460000001</v>
      </c>
      <c r="H203" s="27">
        <v>27742886.290599998</v>
      </c>
      <c r="I203" s="44">
        <v>51561</v>
      </c>
      <c r="J203" s="25" t="s">
        <v>52</v>
      </c>
      <c r="K203" s="25" t="s">
        <v>125</v>
      </c>
      <c r="L203" s="25" t="s">
        <v>121</v>
      </c>
      <c r="M203" s="45">
        <f t="shared" ca="1" si="12"/>
        <v>278</v>
      </c>
      <c r="N203" s="34" t="str">
        <f t="shared" ca="1" si="13"/>
        <v>90+</v>
      </c>
      <c r="O203" s="34">
        <f t="shared" si="14"/>
        <v>0.61</v>
      </c>
      <c r="P203" s="35">
        <f t="shared" si="15"/>
        <v>0.39</v>
      </c>
    </row>
    <row r="204" spans="4:16">
      <c r="D204" s="25" t="s">
        <v>1334</v>
      </c>
      <c r="E204" s="25" t="s">
        <v>1335</v>
      </c>
      <c r="F204" s="27">
        <v>101029408</v>
      </c>
      <c r="G204" s="27">
        <v>97998525.760000005</v>
      </c>
      <c r="H204" s="27">
        <v>48019277.622400008</v>
      </c>
      <c r="I204" s="44">
        <v>51592</v>
      </c>
      <c r="J204" s="25" t="s">
        <v>52</v>
      </c>
      <c r="K204" s="25" t="s">
        <v>94</v>
      </c>
      <c r="L204" s="25" t="s">
        <v>121</v>
      </c>
      <c r="M204" s="45">
        <f t="shared" ca="1" si="12"/>
        <v>164</v>
      </c>
      <c r="N204" s="34" t="str">
        <f t="shared" ca="1" si="13"/>
        <v>90+</v>
      </c>
      <c r="O204" s="34">
        <f t="shared" si="14"/>
        <v>0.49000000000000005</v>
      </c>
      <c r="P204" s="35">
        <f t="shared" si="15"/>
        <v>0.51</v>
      </c>
    </row>
    <row r="205" spans="4:16">
      <c r="D205" s="25" t="s">
        <v>1336</v>
      </c>
      <c r="E205" s="25" t="s">
        <v>1337</v>
      </c>
      <c r="F205" s="27">
        <v>159962796</v>
      </c>
      <c r="G205" s="27">
        <v>142366888.44</v>
      </c>
      <c r="H205" s="27">
        <v>4271006.6531999996</v>
      </c>
      <c r="I205" s="44">
        <v>51622</v>
      </c>
      <c r="J205" s="25" t="s">
        <v>52</v>
      </c>
      <c r="K205" s="25" t="s">
        <v>125</v>
      </c>
      <c r="L205" s="25" t="s">
        <v>138</v>
      </c>
      <c r="M205" s="45">
        <f t="shared" ca="1" si="12"/>
        <v>122</v>
      </c>
      <c r="N205" s="34" t="str">
        <f t="shared" ca="1" si="13"/>
        <v>90+</v>
      </c>
      <c r="O205" s="34">
        <f t="shared" si="14"/>
        <v>0.03</v>
      </c>
      <c r="P205" s="35">
        <f t="shared" si="15"/>
        <v>0.97</v>
      </c>
    </row>
    <row r="206" spans="4:16">
      <c r="D206" s="25" t="s">
        <v>1338</v>
      </c>
      <c r="E206" s="25" t="s">
        <v>1339</v>
      </c>
      <c r="F206" s="27">
        <v>86982195</v>
      </c>
      <c r="G206" s="27">
        <v>48710029.200000003</v>
      </c>
      <c r="H206" s="27">
        <v>29713117.812000003</v>
      </c>
      <c r="I206" s="44">
        <v>51653</v>
      </c>
      <c r="J206" s="25" t="s">
        <v>52</v>
      </c>
      <c r="K206" s="25" t="s">
        <v>56</v>
      </c>
      <c r="L206" s="25" t="s">
        <v>114</v>
      </c>
      <c r="M206" s="45">
        <f t="shared" ca="1" si="12"/>
        <v>342</v>
      </c>
      <c r="N206" s="34" t="str">
        <f t="shared" ca="1" si="13"/>
        <v>90+</v>
      </c>
      <c r="O206" s="34">
        <f t="shared" si="14"/>
        <v>0.61</v>
      </c>
      <c r="P206" s="35">
        <f t="shared" si="15"/>
        <v>0.39</v>
      </c>
    </row>
    <row r="207" spans="4:16">
      <c r="D207" s="25" t="s">
        <v>1340</v>
      </c>
      <c r="E207" s="25" t="s">
        <v>1341</v>
      </c>
      <c r="F207" s="27">
        <v>132699163</v>
      </c>
      <c r="G207" s="27">
        <v>94216405.730000004</v>
      </c>
      <c r="H207" s="27">
        <v>39570890.406600006</v>
      </c>
      <c r="I207" s="44">
        <v>51683</v>
      </c>
      <c r="J207" s="25" t="s">
        <v>99</v>
      </c>
      <c r="K207" s="25" t="s">
        <v>56</v>
      </c>
      <c r="L207" s="25" t="s">
        <v>95</v>
      </c>
      <c r="M207" s="45">
        <f t="shared" ca="1" si="12"/>
        <v>161</v>
      </c>
      <c r="N207" s="34" t="str">
        <f t="shared" ca="1" si="13"/>
        <v>90+</v>
      </c>
      <c r="O207" s="34">
        <f t="shared" si="14"/>
        <v>0.42000000000000004</v>
      </c>
      <c r="P207" s="35">
        <f t="shared" si="15"/>
        <v>0.57999999999999996</v>
      </c>
    </row>
    <row r="208" spans="4:16">
      <c r="D208" s="25" t="s">
        <v>1342</v>
      </c>
      <c r="E208" s="25" t="s">
        <v>1343</v>
      </c>
      <c r="F208" s="27">
        <v>43571379</v>
      </c>
      <c r="G208" s="27">
        <v>8278562.0099999998</v>
      </c>
      <c r="H208" s="27">
        <v>2400782.9828999997</v>
      </c>
      <c r="I208" s="44">
        <v>51714</v>
      </c>
      <c r="J208" s="25" t="s">
        <v>133</v>
      </c>
      <c r="K208" s="25" t="s">
        <v>125</v>
      </c>
      <c r="L208" s="25" t="s">
        <v>95</v>
      </c>
      <c r="M208" s="45">
        <f t="shared" ca="1" si="12"/>
        <v>129</v>
      </c>
      <c r="N208" s="34" t="str">
        <f t="shared" ca="1" si="13"/>
        <v>90+</v>
      </c>
      <c r="O208" s="34">
        <f t="shared" si="14"/>
        <v>0.28999999999999998</v>
      </c>
      <c r="P208" s="35">
        <f t="shared" si="15"/>
        <v>0.71</v>
      </c>
    </row>
    <row r="209" spans="4:16">
      <c r="D209" s="25" t="s">
        <v>1344</v>
      </c>
      <c r="E209" s="25" t="s">
        <v>1345</v>
      </c>
      <c r="F209" s="27">
        <v>185198965</v>
      </c>
      <c r="G209" s="27">
        <v>179642996.05000001</v>
      </c>
      <c r="H209" s="27">
        <v>95210787.906500012</v>
      </c>
      <c r="I209" s="44">
        <v>51745</v>
      </c>
      <c r="J209" s="25" t="s">
        <v>52</v>
      </c>
      <c r="K209" s="25" t="s">
        <v>89</v>
      </c>
      <c r="L209" s="25" t="s">
        <v>90</v>
      </c>
      <c r="M209" s="45">
        <f t="shared" ca="1" si="12"/>
        <v>132</v>
      </c>
      <c r="N209" s="34" t="str">
        <f t="shared" ca="1" si="13"/>
        <v>90+</v>
      </c>
      <c r="O209" s="34">
        <f t="shared" si="14"/>
        <v>0.53</v>
      </c>
      <c r="P209" s="35">
        <f t="shared" si="15"/>
        <v>0.47</v>
      </c>
    </row>
    <row r="210" spans="4:16">
      <c r="D210" s="25" t="s">
        <v>1346</v>
      </c>
      <c r="E210" s="25" t="s">
        <v>1347</v>
      </c>
      <c r="F210" s="27">
        <v>60677870</v>
      </c>
      <c r="G210" s="27">
        <v>58250755.200000003</v>
      </c>
      <c r="H210" s="27">
        <v>32620422.912000004</v>
      </c>
      <c r="I210" s="44">
        <v>51775</v>
      </c>
      <c r="J210" s="25" t="s">
        <v>52</v>
      </c>
      <c r="K210" s="25" t="s">
        <v>109</v>
      </c>
      <c r="L210" s="25" t="s">
        <v>121</v>
      </c>
      <c r="M210" s="45">
        <f t="shared" ca="1" si="12"/>
        <v>265</v>
      </c>
      <c r="N210" s="34" t="str">
        <f t="shared" ca="1" si="13"/>
        <v>90+</v>
      </c>
      <c r="O210" s="34">
        <f t="shared" si="14"/>
        <v>0.56000000000000005</v>
      </c>
      <c r="P210" s="35">
        <f t="shared" si="15"/>
        <v>0.43999999999999995</v>
      </c>
    </row>
    <row r="211" spans="4:16">
      <c r="D211" s="25" t="s">
        <v>1348</v>
      </c>
      <c r="E211" s="25" t="s">
        <v>1349</v>
      </c>
      <c r="F211" s="27">
        <v>68313574</v>
      </c>
      <c r="G211" s="27">
        <v>25959158.120000001</v>
      </c>
      <c r="H211" s="27">
        <v>14537128.5472</v>
      </c>
      <c r="I211" s="44">
        <v>51806</v>
      </c>
      <c r="J211" s="25" t="s">
        <v>52</v>
      </c>
      <c r="K211" s="25" t="s">
        <v>89</v>
      </c>
      <c r="L211" s="25" t="s">
        <v>114</v>
      </c>
      <c r="M211" s="45">
        <f t="shared" ca="1" si="12"/>
        <v>199</v>
      </c>
      <c r="N211" s="34" t="str">
        <f t="shared" ca="1" si="13"/>
        <v>90+</v>
      </c>
      <c r="O211" s="34">
        <f t="shared" si="14"/>
        <v>0.55999999999999994</v>
      </c>
      <c r="P211" s="35">
        <f t="shared" si="15"/>
        <v>0.44000000000000006</v>
      </c>
    </row>
    <row r="212" spans="4:16">
      <c r="D212" s="25" t="s">
        <v>1350</v>
      </c>
      <c r="E212" s="25" t="s">
        <v>1351</v>
      </c>
      <c r="F212" s="27">
        <v>176225818</v>
      </c>
      <c r="G212" s="27">
        <v>109260007.16</v>
      </c>
      <c r="H212" s="27">
        <v>25129801.646799996</v>
      </c>
      <c r="I212" s="44">
        <v>51836</v>
      </c>
      <c r="J212" s="25" t="s">
        <v>52</v>
      </c>
      <c r="K212" s="25" t="s">
        <v>109</v>
      </c>
      <c r="L212" s="25" t="s">
        <v>95</v>
      </c>
      <c r="M212" s="45">
        <f t="shared" ca="1" si="12"/>
        <v>79</v>
      </c>
      <c r="N212" s="34" t="str">
        <f t="shared" ca="1" si="13"/>
        <v>61-90</v>
      </c>
      <c r="O212" s="34">
        <f t="shared" si="14"/>
        <v>0.22999999999999998</v>
      </c>
      <c r="P212" s="35">
        <f t="shared" si="15"/>
        <v>0.77</v>
      </c>
    </row>
    <row r="213" spans="4:16">
      <c r="D213" s="25" t="s">
        <v>1352</v>
      </c>
      <c r="E213" s="25" t="s">
        <v>1353</v>
      </c>
      <c r="F213" s="27">
        <v>98293441</v>
      </c>
      <c r="G213" s="27">
        <v>17692819.379999999</v>
      </c>
      <c r="H213" s="27">
        <v>9377194.271399999</v>
      </c>
      <c r="I213" s="44">
        <v>51867</v>
      </c>
      <c r="J213" s="25" t="s">
        <v>52</v>
      </c>
      <c r="K213" s="25" t="s">
        <v>56</v>
      </c>
      <c r="L213" s="25" t="s">
        <v>110</v>
      </c>
      <c r="M213" s="45">
        <f t="shared" ca="1" si="12"/>
        <v>39</v>
      </c>
      <c r="N213" s="34" t="str">
        <f t="shared" ca="1" si="13"/>
        <v>31-60</v>
      </c>
      <c r="O213" s="34">
        <f t="shared" si="14"/>
        <v>0.53</v>
      </c>
      <c r="P213" s="35">
        <f t="shared" si="15"/>
        <v>0.47</v>
      </c>
    </row>
    <row r="214" spans="4:16">
      <c r="D214" s="25" t="s">
        <v>1354</v>
      </c>
      <c r="E214" s="25" t="s">
        <v>1355</v>
      </c>
      <c r="F214" s="27">
        <v>171070058</v>
      </c>
      <c r="G214" s="27">
        <v>162516555.09999999</v>
      </c>
      <c r="H214" s="27">
        <v>55255628.733999997</v>
      </c>
      <c r="I214" s="44">
        <v>51898</v>
      </c>
      <c r="J214" s="25" t="s">
        <v>52</v>
      </c>
      <c r="K214" s="25" t="s">
        <v>56</v>
      </c>
      <c r="L214" s="25" t="s">
        <v>121</v>
      </c>
      <c r="M214" s="45">
        <f t="shared" ca="1" si="12"/>
        <v>300</v>
      </c>
      <c r="N214" s="34" t="str">
        <f t="shared" ca="1" si="13"/>
        <v>90+</v>
      </c>
      <c r="O214" s="34">
        <f t="shared" si="14"/>
        <v>0.33999999999999997</v>
      </c>
      <c r="P214" s="35">
        <f t="shared" si="15"/>
        <v>0.66</v>
      </c>
    </row>
    <row r="215" spans="4:16">
      <c r="D215" s="25" t="s">
        <v>1356</v>
      </c>
      <c r="E215" s="25" t="s">
        <v>1357</v>
      </c>
      <c r="F215" s="27">
        <v>187147590</v>
      </c>
      <c r="G215" s="27">
        <v>125388885.3</v>
      </c>
      <c r="H215" s="27">
        <v>41378332.149000004</v>
      </c>
      <c r="I215" s="44">
        <v>51926</v>
      </c>
      <c r="J215" s="25" t="s">
        <v>99</v>
      </c>
      <c r="K215" s="25" t="s">
        <v>134</v>
      </c>
      <c r="L215" s="25" t="s">
        <v>114</v>
      </c>
      <c r="M215" s="45">
        <f t="shared" ca="1" si="12"/>
        <v>56</v>
      </c>
      <c r="N215" s="34" t="str">
        <f t="shared" ca="1" si="13"/>
        <v>31-60</v>
      </c>
      <c r="O215" s="34">
        <f t="shared" si="14"/>
        <v>0.33</v>
      </c>
      <c r="P215" s="35">
        <f t="shared" si="15"/>
        <v>0.66999999999999993</v>
      </c>
    </row>
    <row r="216" spans="4:16">
      <c r="D216" s="25" t="s">
        <v>1358</v>
      </c>
      <c r="E216" s="25" t="s">
        <v>1359</v>
      </c>
      <c r="F216" s="27">
        <v>119902919</v>
      </c>
      <c r="G216" s="27">
        <v>93524276.819999993</v>
      </c>
      <c r="H216" s="27">
        <v>28992525.814199995</v>
      </c>
      <c r="I216" s="44">
        <v>51957</v>
      </c>
      <c r="J216" s="25" t="s">
        <v>52</v>
      </c>
      <c r="K216" s="25" t="s">
        <v>109</v>
      </c>
      <c r="L216" s="25" t="s">
        <v>110</v>
      </c>
      <c r="M216" s="45">
        <f t="shared" ca="1" si="12"/>
        <v>278</v>
      </c>
      <c r="N216" s="34" t="str">
        <f t="shared" ca="1" si="13"/>
        <v>90+</v>
      </c>
      <c r="O216" s="34">
        <f t="shared" si="14"/>
        <v>0.31</v>
      </c>
      <c r="P216" s="35">
        <f t="shared" si="15"/>
        <v>0.69</v>
      </c>
    </row>
    <row r="217" spans="4:16">
      <c r="D217" s="25" t="s">
        <v>1360</v>
      </c>
      <c r="E217" s="25" t="s">
        <v>1361</v>
      </c>
      <c r="F217" s="27">
        <v>58899445</v>
      </c>
      <c r="G217" s="27">
        <v>20025811.300000001</v>
      </c>
      <c r="H217" s="27">
        <v>3204129.8080000002</v>
      </c>
      <c r="I217" s="44">
        <v>51987</v>
      </c>
      <c r="J217" s="25" t="s">
        <v>52</v>
      </c>
      <c r="K217" s="25" t="s">
        <v>125</v>
      </c>
      <c r="L217" s="25" t="s">
        <v>110</v>
      </c>
      <c r="M217" s="45">
        <f t="shared" ca="1" si="12"/>
        <v>258</v>
      </c>
      <c r="N217" s="34" t="str">
        <f t="shared" ca="1" si="13"/>
        <v>90+</v>
      </c>
      <c r="O217" s="34">
        <f t="shared" si="14"/>
        <v>0.16</v>
      </c>
      <c r="P217" s="35">
        <f t="shared" si="15"/>
        <v>0.84</v>
      </c>
    </row>
    <row r="218" spans="4:16">
      <c r="D218" s="25" t="s">
        <v>1362</v>
      </c>
      <c r="E218" s="25" t="s">
        <v>1363</v>
      </c>
      <c r="F218" s="27">
        <v>76317413</v>
      </c>
      <c r="G218" s="27">
        <v>61053930.399999999</v>
      </c>
      <c r="H218" s="27">
        <v>36021818.935999997</v>
      </c>
      <c r="I218" s="44">
        <v>52018</v>
      </c>
      <c r="J218" s="25" t="s">
        <v>99</v>
      </c>
      <c r="K218" s="25" t="s">
        <v>134</v>
      </c>
      <c r="L218" s="25" t="s">
        <v>95</v>
      </c>
      <c r="M218" s="45">
        <f t="shared" ca="1" si="12"/>
        <v>91</v>
      </c>
      <c r="N218" s="34" t="str">
        <f t="shared" ca="1" si="13"/>
        <v>90+</v>
      </c>
      <c r="O218" s="34">
        <f t="shared" si="14"/>
        <v>0.59</v>
      </c>
      <c r="P218" s="35">
        <f t="shared" si="15"/>
        <v>0.41000000000000003</v>
      </c>
    </row>
    <row r="219" spans="4:16">
      <c r="D219" s="25" t="s">
        <v>1364</v>
      </c>
      <c r="E219" s="25" t="s">
        <v>1365</v>
      </c>
      <c r="F219" s="27">
        <v>43646442</v>
      </c>
      <c r="G219" s="27">
        <v>6983430.7199999997</v>
      </c>
      <c r="H219" s="27">
        <v>2863206.5951999999</v>
      </c>
      <c r="I219" s="44">
        <v>52048</v>
      </c>
      <c r="J219" s="25" t="s">
        <v>52</v>
      </c>
      <c r="K219" s="25" t="s">
        <v>134</v>
      </c>
      <c r="L219" s="25" t="s">
        <v>121</v>
      </c>
      <c r="M219" s="45">
        <f t="shared" ca="1" si="12"/>
        <v>208</v>
      </c>
      <c r="N219" s="34" t="str">
        <f t="shared" ca="1" si="13"/>
        <v>90+</v>
      </c>
      <c r="O219" s="34">
        <f t="shared" si="14"/>
        <v>0.41</v>
      </c>
      <c r="P219" s="35">
        <f t="shared" si="15"/>
        <v>0.59000000000000008</v>
      </c>
    </row>
    <row r="220" spans="4:16">
      <c r="D220" s="25" t="s">
        <v>1366</v>
      </c>
      <c r="E220" s="25" t="s">
        <v>1367</v>
      </c>
      <c r="F220" s="27">
        <v>186713455</v>
      </c>
      <c r="G220" s="27">
        <v>136300822.15000001</v>
      </c>
      <c r="H220" s="27">
        <v>14993090.436500002</v>
      </c>
      <c r="I220" s="44">
        <v>52079</v>
      </c>
      <c r="J220" s="25" t="s">
        <v>99</v>
      </c>
      <c r="K220" s="25" t="s">
        <v>125</v>
      </c>
      <c r="L220" s="25" t="s">
        <v>121</v>
      </c>
      <c r="M220" s="45">
        <f t="shared" ca="1" si="12"/>
        <v>99</v>
      </c>
      <c r="N220" s="34" t="str">
        <f t="shared" ca="1" si="13"/>
        <v>90+</v>
      </c>
      <c r="O220" s="34">
        <f t="shared" si="14"/>
        <v>0.11000000000000001</v>
      </c>
      <c r="P220" s="35">
        <f t="shared" si="15"/>
        <v>0.89</v>
      </c>
    </row>
    <row r="221" spans="4:16">
      <c r="D221" s="25" t="s">
        <v>1368</v>
      </c>
      <c r="E221" s="25" t="s">
        <v>1369</v>
      </c>
      <c r="F221" s="27">
        <v>120299915</v>
      </c>
      <c r="G221" s="27">
        <v>60149957.5</v>
      </c>
      <c r="H221" s="27">
        <v>10826992.35</v>
      </c>
      <c r="I221" s="44">
        <v>52110</v>
      </c>
      <c r="J221" s="25" t="s">
        <v>99</v>
      </c>
      <c r="K221" s="25" t="s">
        <v>109</v>
      </c>
      <c r="L221" s="25" t="s">
        <v>110</v>
      </c>
      <c r="M221" s="45">
        <f t="shared" ca="1" si="12"/>
        <v>154</v>
      </c>
      <c r="N221" s="34" t="str">
        <f t="shared" ca="1" si="13"/>
        <v>90+</v>
      </c>
      <c r="O221" s="34">
        <f t="shared" si="14"/>
        <v>0.18</v>
      </c>
      <c r="P221" s="35">
        <f t="shared" si="15"/>
        <v>0.82000000000000006</v>
      </c>
    </row>
    <row r="222" spans="4:16">
      <c r="D222" s="25" t="s">
        <v>1370</v>
      </c>
      <c r="E222" s="25" t="s">
        <v>1371</v>
      </c>
      <c r="F222" s="27">
        <v>91237335</v>
      </c>
      <c r="G222" s="27">
        <v>87587841.599999994</v>
      </c>
      <c r="H222" s="27">
        <v>46421556.047999993</v>
      </c>
      <c r="I222" s="44">
        <v>52140</v>
      </c>
      <c r="J222" s="25" t="s">
        <v>99</v>
      </c>
      <c r="K222" s="25" t="s">
        <v>94</v>
      </c>
      <c r="L222" s="25" t="s">
        <v>114</v>
      </c>
      <c r="M222" s="45">
        <f t="shared" ca="1" si="12"/>
        <v>264</v>
      </c>
      <c r="N222" s="34" t="str">
        <f t="shared" ca="1" si="13"/>
        <v>90+</v>
      </c>
      <c r="O222" s="34">
        <f t="shared" si="14"/>
        <v>0.52999999999999992</v>
      </c>
      <c r="P222" s="35">
        <f t="shared" si="15"/>
        <v>0.47000000000000008</v>
      </c>
    </row>
    <row r="223" spans="4:16">
      <c r="D223" s="25" t="s">
        <v>1372</v>
      </c>
      <c r="E223" s="25" t="s">
        <v>1373</v>
      </c>
      <c r="F223" s="27">
        <v>37213909</v>
      </c>
      <c r="G223" s="27">
        <v>4837808.17</v>
      </c>
      <c r="H223" s="27">
        <v>2564038.3300999999</v>
      </c>
      <c r="I223" s="44">
        <v>52171</v>
      </c>
      <c r="J223" s="25" t="s">
        <v>52</v>
      </c>
      <c r="K223" s="25" t="s">
        <v>134</v>
      </c>
      <c r="L223" s="25" t="s">
        <v>114</v>
      </c>
      <c r="M223" s="45">
        <f t="shared" ca="1" si="12"/>
        <v>327</v>
      </c>
      <c r="N223" s="34" t="str">
        <f t="shared" ca="1" si="13"/>
        <v>90+</v>
      </c>
      <c r="O223" s="34">
        <f t="shared" si="14"/>
        <v>0.53</v>
      </c>
      <c r="P223" s="35">
        <f t="shared" si="15"/>
        <v>0.47</v>
      </c>
    </row>
    <row r="224" spans="4:16">
      <c r="D224" s="25" t="s">
        <v>1374</v>
      </c>
      <c r="E224" s="25" t="s">
        <v>1375</v>
      </c>
      <c r="F224" s="27">
        <v>113356609</v>
      </c>
      <c r="G224" s="27">
        <v>71414663.670000002</v>
      </c>
      <c r="H224" s="27">
        <v>22138545.7377</v>
      </c>
      <c r="I224" s="44">
        <v>52201</v>
      </c>
      <c r="J224" s="25" t="s">
        <v>52</v>
      </c>
      <c r="K224" s="25" t="s">
        <v>125</v>
      </c>
      <c r="L224" s="25" t="s">
        <v>114</v>
      </c>
      <c r="M224" s="45">
        <f t="shared" ca="1" si="12"/>
        <v>96</v>
      </c>
      <c r="N224" s="34" t="str">
        <f t="shared" ca="1" si="13"/>
        <v>90+</v>
      </c>
      <c r="O224" s="34">
        <f t="shared" si="14"/>
        <v>0.31</v>
      </c>
      <c r="P224" s="35">
        <f t="shared" si="15"/>
        <v>0.69</v>
      </c>
    </row>
    <row r="225" spans="4:16">
      <c r="D225" s="25" t="s">
        <v>1376</v>
      </c>
      <c r="E225" s="25" t="s">
        <v>1377</v>
      </c>
      <c r="F225" s="27">
        <v>189492784</v>
      </c>
      <c r="G225" s="27">
        <v>83376824.959999993</v>
      </c>
      <c r="H225" s="27">
        <v>40020875.980800003</v>
      </c>
      <c r="I225" s="44">
        <v>52232</v>
      </c>
      <c r="J225" s="25" t="s">
        <v>52</v>
      </c>
      <c r="K225" s="25" t="s">
        <v>109</v>
      </c>
      <c r="L225" s="25" t="s">
        <v>114</v>
      </c>
      <c r="M225" s="45">
        <f t="shared" ca="1" si="12"/>
        <v>135</v>
      </c>
      <c r="N225" s="34" t="str">
        <f t="shared" ca="1" si="13"/>
        <v>90+</v>
      </c>
      <c r="O225" s="34">
        <f t="shared" si="14"/>
        <v>0.48000000000000009</v>
      </c>
      <c r="P225" s="35">
        <f t="shared" si="15"/>
        <v>0.51999999999999991</v>
      </c>
    </row>
    <row r="226" spans="4:16">
      <c r="D226" s="25" t="s">
        <v>1378</v>
      </c>
      <c r="E226" s="25" t="s">
        <v>1379</v>
      </c>
      <c r="F226" s="27">
        <v>168341318</v>
      </c>
      <c r="G226" s="27">
        <v>146456946.66</v>
      </c>
      <c r="H226" s="27">
        <v>35149667.198399998</v>
      </c>
      <c r="I226" s="44">
        <v>52263</v>
      </c>
      <c r="J226" s="25" t="s">
        <v>52</v>
      </c>
      <c r="K226" s="25" t="s">
        <v>109</v>
      </c>
      <c r="L226" s="25" t="s">
        <v>114</v>
      </c>
      <c r="M226" s="45">
        <f t="shared" ca="1" si="12"/>
        <v>189</v>
      </c>
      <c r="N226" s="34" t="str">
        <f t="shared" ca="1" si="13"/>
        <v>90+</v>
      </c>
      <c r="O226" s="34">
        <f t="shared" si="14"/>
        <v>0.24</v>
      </c>
      <c r="P226" s="35">
        <f t="shared" si="15"/>
        <v>0.76</v>
      </c>
    </row>
    <row r="227" spans="4:16">
      <c r="D227" s="25" t="s">
        <v>1380</v>
      </c>
      <c r="E227" s="25" t="s">
        <v>1381</v>
      </c>
      <c r="F227" s="27">
        <v>65306546</v>
      </c>
      <c r="G227" s="27">
        <v>28734880.239999998</v>
      </c>
      <c r="H227" s="27">
        <v>8907812.8743999992</v>
      </c>
      <c r="I227" s="44">
        <v>52291</v>
      </c>
      <c r="J227" s="25" t="s">
        <v>99</v>
      </c>
      <c r="K227" s="25" t="s">
        <v>109</v>
      </c>
      <c r="L227" s="25" t="s">
        <v>138</v>
      </c>
      <c r="M227" s="45">
        <f t="shared" ca="1" si="12"/>
        <v>216</v>
      </c>
      <c r="N227" s="34" t="str">
        <f t="shared" ca="1" si="13"/>
        <v>90+</v>
      </c>
      <c r="O227" s="34">
        <f t="shared" si="14"/>
        <v>0.31</v>
      </c>
      <c r="P227" s="35">
        <f t="shared" si="15"/>
        <v>0.69</v>
      </c>
    </row>
    <row r="228" spans="4:16">
      <c r="D228" s="25" t="s">
        <v>1382</v>
      </c>
      <c r="E228" s="25" t="s">
        <v>1383</v>
      </c>
      <c r="F228" s="27">
        <v>148544943</v>
      </c>
      <c r="G228" s="27">
        <v>138146796.99000001</v>
      </c>
      <c r="H228" s="27">
        <v>80125142.254199997</v>
      </c>
      <c r="I228" s="44">
        <v>52322</v>
      </c>
      <c r="J228" s="25" t="s">
        <v>133</v>
      </c>
      <c r="K228" s="25" t="s">
        <v>125</v>
      </c>
      <c r="L228" s="25" t="s">
        <v>95</v>
      </c>
      <c r="M228" s="45">
        <f t="shared" ca="1" si="12"/>
        <v>195</v>
      </c>
      <c r="N228" s="34" t="str">
        <f t="shared" ca="1" si="13"/>
        <v>90+</v>
      </c>
      <c r="O228" s="34">
        <f t="shared" si="14"/>
        <v>0.57999999999999996</v>
      </c>
      <c r="P228" s="35">
        <f t="shared" si="15"/>
        <v>0.42000000000000004</v>
      </c>
    </row>
    <row r="229" spans="4:16">
      <c r="D229" s="25" t="s">
        <v>1384</v>
      </c>
      <c r="E229" s="25" t="s">
        <v>1385</v>
      </c>
      <c r="F229" s="27">
        <v>34604132</v>
      </c>
      <c r="G229" s="27">
        <v>6920826.4000000004</v>
      </c>
      <c r="H229" s="27">
        <v>2699122.2960000001</v>
      </c>
      <c r="I229" s="44">
        <v>52352</v>
      </c>
      <c r="J229" s="25" t="s">
        <v>52</v>
      </c>
      <c r="K229" s="25" t="s">
        <v>89</v>
      </c>
      <c r="L229" s="25" t="s">
        <v>95</v>
      </c>
      <c r="M229" s="45">
        <f t="shared" ca="1" si="12"/>
        <v>192</v>
      </c>
      <c r="N229" s="34" t="str">
        <f t="shared" ca="1" si="13"/>
        <v>90+</v>
      </c>
      <c r="O229" s="34">
        <f t="shared" si="14"/>
        <v>0.39</v>
      </c>
      <c r="P229" s="35">
        <f t="shared" si="15"/>
        <v>0.61</v>
      </c>
    </row>
    <row r="230" spans="4:16">
      <c r="D230" s="25" t="s">
        <v>1386</v>
      </c>
      <c r="E230" s="25" t="s">
        <v>1387</v>
      </c>
      <c r="F230" s="27">
        <v>96544274</v>
      </c>
      <c r="G230" s="27">
        <v>34755938.640000001</v>
      </c>
      <c r="H230" s="27">
        <v>3823153.2504000003</v>
      </c>
      <c r="I230" s="44">
        <v>52383</v>
      </c>
      <c r="J230" s="25" t="s">
        <v>52</v>
      </c>
      <c r="K230" s="25" t="s">
        <v>56</v>
      </c>
      <c r="L230" s="25" t="s">
        <v>114</v>
      </c>
      <c r="M230" s="45">
        <f t="shared" ca="1" si="12"/>
        <v>311</v>
      </c>
      <c r="N230" s="34" t="str">
        <f t="shared" ca="1" si="13"/>
        <v>90+</v>
      </c>
      <c r="O230" s="34">
        <f t="shared" si="14"/>
        <v>0.11</v>
      </c>
      <c r="P230" s="35">
        <f t="shared" si="15"/>
        <v>0.89</v>
      </c>
    </row>
    <row r="231" spans="4:16">
      <c r="D231" s="25" t="s">
        <v>1388</v>
      </c>
      <c r="E231" s="25" t="s">
        <v>1389</v>
      </c>
      <c r="F231" s="27">
        <v>52017637</v>
      </c>
      <c r="G231" s="27">
        <v>16645643.84</v>
      </c>
      <c r="H231" s="27">
        <v>1165195.0688</v>
      </c>
      <c r="I231" s="44">
        <v>52413</v>
      </c>
      <c r="J231" s="25" t="s">
        <v>52</v>
      </c>
      <c r="K231" s="25" t="s">
        <v>94</v>
      </c>
      <c r="L231" s="25" t="s">
        <v>90</v>
      </c>
      <c r="M231" s="45">
        <f t="shared" ca="1" si="12"/>
        <v>155</v>
      </c>
      <c r="N231" s="34" t="str">
        <f t="shared" ca="1" si="13"/>
        <v>90+</v>
      </c>
      <c r="O231" s="34">
        <f t="shared" si="14"/>
        <v>7.0000000000000007E-2</v>
      </c>
      <c r="P231" s="35">
        <f t="shared" si="15"/>
        <v>0.92999999999999994</v>
      </c>
    </row>
    <row r="232" spans="4:16">
      <c r="D232" s="25" t="s">
        <v>1390</v>
      </c>
      <c r="E232" s="25" t="s">
        <v>1391</v>
      </c>
      <c r="F232" s="27">
        <v>24086558</v>
      </c>
      <c r="G232" s="27">
        <v>10598085.52</v>
      </c>
      <c r="H232" s="27">
        <v>3921291.6424000002</v>
      </c>
      <c r="I232" s="44">
        <v>52444</v>
      </c>
      <c r="J232" s="25" t="s">
        <v>133</v>
      </c>
      <c r="K232" s="25" t="s">
        <v>94</v>
      </c>
      <c r="L232" s="25" t="s">
        <v>121</v>
      </c>
      <c r="M232" s="45">
        <f t="shared" ca="1" si="12"/>
        <v>278</v>
      </c>
      <c r="N232" s="34" t="str">
        <f t="shared" ca="1" si="13"/>
        <v>90+</v>
      </c>
      <c r="O232" s="34">
        <f t="shared" si="14"/>
        <v>0.37000000000000005</v>
      </c>
      <c r="P232" s="35">
        <f t="shared" si="15"/>
        <v>0.62999999999999989</v>
      </c>
    </row>
    <row r="233" spans="4:16">
      <c r="D233" s="25" t="s">
        <v>1392</v>
      </c>
      <c r="E233" s="25" t="s">
        <v>1393</v>
      </c>
      <c r="F233" s="27">
        <v>116420727</v>
      </c>
      <c r="G233" s="27">
        <v>25612559.940000001</v>
      </c>
      <c r="H233" s="27">
        <v>9476647.1778000016</v>
      </c>
      <c r="I233" s="44">
        <v>52475</v>
      </c>
      <c r="J233" s="25" t="s">
        <v>52</v>
      </c>
      <c r="K233" s="25" t="s">
        <v>94</v>
      </c>
      <c r="L233" s="25" t="s">
        <v>95</v>
      </c>
      <c r="M233" s="45">
        <f t="shared" ca="1" si="12"/>
        <v>272</v>
      </c>
      <c r="N233" s="34" t="str">
        <f t="shared" ca="1" si="13"/>
        <v>90+</v>
      </c>
      <c r="O233" s="34">
        <f t="shared" si="14"/>
        <v>0.37000000000000005</v>
      </c>
      <c r="P233" s="35">
        <f t="shared" si="15"/>
        <v>0.62999999999999989</v>
      </c>
    </row>
    <row r="234" spans="4:16">
      <c r="D234" s="25" t="s">
        <v>1394</v>
      </c>
      <c r="E234" s="25" t="s">
        <v>1395</v>
      </c>
      <c r="F234" s="27">
        <v>156956552</v>
      </c>
      <c r="G234" s="27">
        <v>23543482.800000001</v>
      </c>
      <c r="H234" s="27">
        <v>1177174.1399999999</v>
      </c>
      <c r="I234" s="44">
        <v>52505</v>
      </c>
      <c r="J234" s="25" t="s">
        <v>52</v>
      </c>
      <c r="K234" s="25" t="s">
        <v>94</v>
      </c>
      <c r="L234" s="25" t="s">
        <v>90</v>
      </c>
      <c r="M234" s="45">
        <f t="shared" ca="1" si="12"/>
        <v>191</v>
      </c>
      <c r="N234" s="34" t="str">
        <f t="shared" ca="1" si="13"/>
        <v>90+</v>
      </c>
      <c r="O234" s="34">
        <f t="shared" si="14"/>
        <v>4.9999999999999996E-2</v>
      </c>
      <c r="P234" s="35">
        <f t="shared" si="15"/>
        <v>0.95</v>
      </c>
    </row>
    <row r="235" spans="4:16">
      <c r="D235" s="25" t="s">
        <v>1396</v>
      </c>
      <c r="E235" s="25" t="s">
        <v>1397</v>
      </c>
      <c r="F235" s="27">
        <v>97969350</v>
      </c>
      <c r="G235" s="27">
        <v>10776628.5</v>
      </c>
      <c r="H235" s="27">
        <v>1185429.135</v>
      </c>
      <c r="I235" s="44">
        <v>52536</v>
      </c>
      <c r="J235" s="25" t="s">
        <v>99</v>
      </c>
      <c r="K235" s="25" t="s">
        <v>125</v>
      </c>
      <c r="L235" s="25" t="s">
        <v>110</v>
      </c>
      <c r="M235" s="45">
        <f t="shared" ca="1" si="12"/>
        <v>279</v>
      </c>
      <c r="N235" s="34" t="str">
        <f t="shared" ca="1" si="13"/>
        <v>90+</v>
      </c>
      <c r="O235" s="34">
        <f t="shared" si="14"/>
        <v>0.11</v>
      </c>
      <c r="P235" s="35">
        <f t="shared" si="15"/>
        <v>0.89</v>
      </c>
    </row>
    <row r="236" spans="4:16">
      <c r="D236" s="25" t="s">
        <v>1398</v>
      </c>
      <c r="E236" s="25" t="s">
        <v>1399</v>
      </c>
      <c r="F236" s="27">
        <v>71711737</v>
      </c>
      <c r="G236" s="27">
        <v>46612629.049999997</v>
      </c>
      <c r="H236" s="27">
        <v>24704693.396499995</v>
      </c>
      <c r="I236" s="44">
        <v>52566</v>
      </c>
      <c r="J236" s="25" t="s">
        <v>52</v>
      </c>
      <c r="K236" s="25" t="s">
        <v>125</v>
      </c>
      <c r="L236" s="25" t="s">
        <v>138</v>
      </c>
      <c r="M236" s="45">
        <f t="shared" ca="1" si="12"/>
        <v>309</v>
      </c>
      <c r="N236" s="34" t="str">
        <f t="shared" ca="1" si="13"/>
        <v>90+</v>
      </c>
      <c r="O236" s="34">
        <f t="shared" si="14"/>
        <v>0.52999999999999992</v>
      </c>
      <c r="P236" s="35">
        <f t="shared" si="15"/>
        <v>0.47000000000000008</v>
      </c>
    </row>
    <row r="237" spans="4:16">
      <c r="D237" s="25" t="s">
        <v>1400</v>
      </c>
      <c r="E237" s="25" t="s">
        <v>1401</v>
      </c>
      <c r="F237" s="27">
        <v>126942171</v>
      </c>
      <c r="G237" s="27">
        <v>39352073.009999998</v>
      </c>
      <c r="H237" s="27">
        <v>20856598.695299998</v>
      </c>
      <c r="I237" s="44">
        <v>52597</v>
      </c>
      <c r="J237" s="25" t="s">
        <v>99</v>
      </c>
      <c r="K237" s="25" t="s">
        <v>56</v>
      </c>
      <c r="L237" s="25" t="s">
        <v>95</v>
      </c>
      <c r="M237" s="45">
        <f t="shared" ca="1" si="12"/>
        <v>235</v>
      </c>
      <c r="N237" s="34" t="str">
        <f t="shared" ca="1" si="13"/>
        <v>90+</v>
      </c>
      <c r="O237" s="34">
        <f t="shared" si="14"/>
        <v>0.53</v>
      </c>
      <c r="P237" s="35">
        <f t="shared" si="15"/>
        <v>0.47</v>
      </c>
    </row>
    <row r="238" spans="4:16">
      <c r="D238" s="25" t="s">
        <v>1402</v>
      </c>
      <c r="E238" s="25" t="s">
        <v>1403</v>
      </c>
      <c r="F238" s="27">
        <v>62189053</v>
      </c>
      <c r="G238" s="27">
        <v>59701490.880000003</v>
      </c>
      <c r="H238" s="27">
        <v>1791044.7264</v>
      </c>
      <c r="I238" s="44">
        <v>52628</v>
      </c>
      <c r="J238" s="25" t="s">
        <v>99</v>
      </c>
      <c r="K238" s="25" t="s">
        <v>134</v>
      </c>
      <c r="L238" s="25" t="s">
        <v>110</v>
      </c>
      <c r="M238" s="45">
        <f t="shared" ca="1" si="12"/>
        <v>226</v>
      </c>
      <c r="N238" s="34" t="str">
        <f t="shared" ca="1" si="13"/>
        <v>90+</v>
      </c>
      <c r="O238" s="34">
        <f t="shared" si="14"/>
        <v>0.03</v>
      </c>
      <c r="P238" s="35">
        <f t="shared" si="15"/>
        <v>0.97</v>
      </c>
    </row>
    <row r="239" spans="4:16">
      <c r="D239" s="25" t="s">
        <v>1404</v>
      </c>
      <c r="E239" s="25" t="s">
        <v>1405</v>
      </c>
      <c r="F239" s="27">
        <v>170299452</v>
      </c>
      <c r="G239" s="27">
        <v>32356895.879999999</v>
      </c>
      <c r="H239" s="27">
        <v>9059930.8464000002</v>
      </c>
      <c r="I239" s="44">
        <v>52657</v>
      </c>
      <c r="J239" s="25" t="s">
        <v>133</v>
      </c>
      <c r="K239" s="25" t="s">
        <v>94</v>
      </c>
      <c r="L239" s="25" t="s">
        <v>95</v>
      </c>
      <c r="M239" s="45">
        <f t="shared" ca="1" si="12"/>
        <v>281</v>
      </c>
      <c r="N239" s="34" t="str">
        <f t="shared" ca="1" si="13"/>
        <v>90+</v>
      </c>
      <c r="O239" s="34">
        <f t="shared" si="14"/>
        <v>0.28000000000000003</v>
      </c>
      <c r="P239" s="35">
        <f t="shared" si="15"/>
        <v>0.72</v>
      </c>
    </row>
    <row r="240" spans="4:16">
      <c r="D240" s="25" t="s">
        <v>1406</v>
      </c>
      <c r="E240" s="25" t="s">
        <v>1407</v>
      </c>
      <c r="F240" s="27">
        <v>99930625</v>
      </c>
      <c r="G240" s="27">
        <v>67952825</v>
      </c>
      <c r="H240" s="27">
        <v>28540186.5</v>
      </c>
      <c r="I240" s="44">
        <v>52688</v>
      </c>
      <c r="J240" s="25" t="s">
        <v>52</v>
      </c>
      <c r="K240" s="25" t="s">
        <v>109</v>
      </c>
      <c r="L240" s="25" t="s">
        <v>121</v>
      </c>
      <c r="M240" s="45">
        <f t="shared" ca="1" si="12"/>
        <v>256</v>
      </c>
      <c r="N240" s="34" t="str">
        <f t="shared" ca="1" si="13"/>
        <v>90+</v>
      </c>
      <c r="O240" s="34">
        <f t="shared" si="14"/>
        <v>0.42</v>
      </c>
      <c r="P240" s="35">
        <f t="shared" si="15"/>
        <v>0.58000000000000007</v>
      </c>
    </row>
    <row r="241" spans="4:16">
      <c r="D241" s="25" t="s">
        <v>1408</v>
      </c>
      <c r="E241" s="25" t="s">
        <v>1409</v>
      </c>
      <c r="F241" s="27">
        <v>10820789</v>
      </c>
      <c r="G241" s="27">
        <v>10171541.66</v>
      </c>
      <c r="H241" s="27">
        <v>1017154.166</v>
      </c>
      <c r="I241" s="44">
        <v>52718</v>
      </c>
      <c r="J241" s="25" t="s">
        <v>133</v>
      </c>
      <c r="K241" s="25" t="s">
        <v>94</v>
      </c>
      <c r="L241" s="25" t="s">
        <v>90</v>
      </c>
      <c r="M241" s="45">
        <f t="shared" ca="1" si="12"/>
        <v>101</v>
      </c>
      <c r="N241" s="34" t="str">
        <f t="shared" ca="1" si="13"/>
        <v>90+</v>
      </c>
      <c r="O241" s="34">
        <f t="shared" si="14"/>
        <v>9.9999999999999992E-2</v>
      </c>
      <c r="P241" s="35">
        <f t="shared" si="15"/>
        <v>0.9</v>
      </c>
    </row>
    <row r="242" spans="4:16">
      <c r="D242" s="25" t="s">
        <v>1410</v>
      </c>
      <c r="E242" s="25" t="s">
        <v>1411</v>
      </c>
      <c r="F242" s="27">
        <v>177840942</v>
      </c>
      <c r="G242" s="27">
        <v>161835257.22</v>
      </c>
      <c r="H242" s="27">
        <v>24275288.583000001</v>
      </c>
      <c r="I242" s="44">
        <v>52749</v>
      </c>
      <c r="J242" s="25" t="s">
        <v>99</v>
      </c>
      <c r="K242" s="25" t="s">
        <v>109</v>
      </c>
      <c r="L242" s="25" t="s">
        <v>95</v>
      </c>
      <c r="M242" s="45">
        <f t="shared" ca="1" si="12"/>
        <v>138</v>
      </c>
      <c r="N242" s="34" t="str">
        <f t="shared" ca="1" si="13"/>
        <v>90+</v>
      </c>
      <c r="O242" s="34">
        <f t="shared" si="14"/>
        <v>0.15</v>
      </c>
      <c r="P242" s="35">
        <f t="shared" si="15"/>
        <v>0.85</v>
      </c>
    </row>
    <row r="243" spans="4:16">
      <c r="D243" s="25" t="s">
        <v>1412</v>
      </c>
      <c r="E243" s="25" t="s">
        <v>1413</v>
      </c>
      <c r="F243" s="27">
        <v>110861662</v>
      </c>
      <c r="G243" s="27">
        <v>13303399.439999999</v>
      </c>
      <c r="H243" s="27">
        <v>2527645.8936000001</v>
      </c>
      <c r="I243" s="44">
        <v>52779</v>
      </c>
      <c r="J243" s="25" t="s">
        <v>133</v>
      </c>
      <c r="K243" s="25" t="s">
        <v>109</v>
      </c>
      <c r="L243" s="25" t="s">
        <v>114</v>
      </c>
      <c r="M243" s="45">
        <f t="shared" ca="1" si="12"/>
        <v>327</v>
      </c>
      <c r="N243" s="34" t="str">
        <f t="shared" ca="1" si="13"/>
        <v>90+</v>
      </c>
      <c r="O243" s="34">
        <f t="shared" si="14"/>
        <v>0.19</v>
      </c>
      <c r="P243" s="35">
        <f t="shared" si="15"/>
        <v>0.81</v>
      </c>
    </row>
    <row r="244" spans="4:16">
      <c r="D244" s="25" t="s">
        <v>1414</v>
      </c>
      <c r="E244" s="25" t="s">
        <v>1415</v>
      </c>
      <c r="F244" s="27">
        <v>107745444</v>
      </c>
      <c r="G244" s="27">
        <v>46330540.920000002</v>
      </c>
      <c r="H244" s="27">
        <v>29188240.779600002</v>
      </c>
      <c r="I244" s="44">
        <v>52810</v>
      </c>
      <c r="J244" s="25" t="s">
        <v>52</v>
      </c>
      <c r="K244" s="25" t="s">
        <v>125</v>
      </c>
      <c r="L244" s="25" t="s">
        <v>138</v>
      </c>
      <c r="M244" s="45">
        <f t="shared" ca="1" si="12"/>
        <v>359</v>
      </c>
      <c r="N244" s="34" t="str">
        <f t="shared" ca="1" si="13"/>
        <v>90+</v>
      </c>
      <c r="O244" s="34">
        <f t="shared" si="14"/>
        <v>0.63</v>
      </c>
      <c r="P244" s="35">
        <f t="shared" si="15"/>
        <v>0.37</v>
      </c>
    </row>
    <row r="245" spans="4:16">
      <c r="D245" s="25" t="s">
        <v>1416</v>
      </c>
      <c r="E245" s="25" t="s">
        <v>1417</v>
      </c>
      <c r="F245" s="27">
        <v>8451370</v>
      </c>
      <c r="G245" s="27">
        <v>2450897.2999999998</v>
      </c>
      <c r="H245" s="27">
        <v>1323484.5419999999</v>
      </c>
      <c r="I245" s="44">
        <v>52841</v>
      </c>
      <c r="J245" s="25" t="s">
        <v>52</v>
      </c>
      <c r="K245" s="25" t="s">
        <v>134</v>
      </c>
      <c r="L245" s="25" t="s">
        <v>121</v>
      </c>
      <c r="M245" s="45">
        <f t="shared" ca="1" si="12"/>
        <v>107</v>
      </c>
      <c r="N245" s="34" t="str">
        <f t="shared" ca="1" si="13"/>
        <v>90+</v>
      </c>
      <c r="O245" s="34">
        <f t="shared" si="14"/>
        <v>0.54</v>
      </c>
      <c r="P245" s="35">
        <f t="shared" si="15"/>
        <v>0.45999999999999996</v>
      </c>
    </row>
    <row r="246" spans="4:16">
      <c r="D246" s="25" t="s">
        <v>1418</v>
      </c>
      <c r="E246" s="25" t="s">
        <v>1419</v>
      </c>
      <c r="F246" s="27">
        <v>16969157</v>
      </c>
      <c r="G246" s="27">
        <v>10520877.34</v>
      </c>
      <c r="H246" s="27">
        <v>2840636.8818000001</v>
      </c>
      <c r="I246" s="44">
        <v>52871</v>
      </c>
      <c r="J246" s="25" t="s">
        <v>52</v>
      </c>
      <c r="K246" s="25" t="s">
        <v>109</v>
      </c>
      <c r="L246" s="25" t="s">
        <v>95</v>
      </c>
      <c r="M246" s="45">
        <f t="shared" ca="1" si="12"/>
        <v>307</v>
      </c>
      <c r="N246" s="34" t="str">
        <f t="shared" ca="1" si="13"/>
        <v>90+</v>
      </c>
      <c r="O246" s="34">
        <f t="shared" si="14"/>
        <v>0.27</v>
      </c>
      <c r="P246" s="35">
        <f t="shared" si="15"/>
        <v>0.73</v>
      </c>
    </row>
    <row r="247" spans="4:16">
      <c r="D247" s="25" t="s">
        <v>1420</v>
      </c>
      <c r="E247" s="25" t="s">
        <v>1421</v>
      </c>
      <c r="F247" s="27">
        <v>16038330</v>
      </c>
      <c r="G247" s="27">
        <v>12509897.4</v>
      </c>
      <c r="H247" s="27">
        <v>2501979.48</v>
      </c>
      <c r="I247" s="44">
        <v>52902</v>
      </c>
      <c r="J247" s="25" t="s">
        <v>52</v>
      </c>
      <c r="K247" s="25" t="s">
        <v>89</v>
      </c>
      <c r="L247" s="25" t="s">
        <v>114</v>
      </c>
      <c r="M247" s="45">
        <f t="shared" ca="1" si="12"/>
        <v>249</v>
      </c>
      <c r="N247" s="34" t="str">
        <f t="shared" ca="1" si="13"/>
        <v>90+</v>
      </c>
      <c r="O247" s="34">
        <f t="shared" si="14"/>
        <v>0.19999999999999998</v>
      </c>
      <c r="P247" s="35">
        <f t="shared" si="15"/>
        <v>0.8</v>
      </c>
    </row>
    <row r="248" spans="4:16">
      <c r="D248" s="25" t="s">
        <v>1422</v>
      </c>
      <c r="E248" s="25" t="s">
        <v>1423</v>
      </c>
      <c r="F248" s="27">
        <v>1324278</v>
      </c>
      <c r="G248" s="27">
        <v>979965.72</v>
      </c>
      <c r="H248" s="27">
        <v>244991.43</v>
      </c>
      <c r="I248" s="44">
        <v>52932</v>
      </c>
      <c r="J248" s="25" t="s">
        <v>99</v>
      </c>
      <c r="K248" s="25" t="s">
        <v>109</v>
      </c>
      <c r="L248" s="25" t="s">
        <v>90</v>
      </c>
      <c r="M248" s="45">
        <f t="shared" ca="1" si="12"/>
        <v>83</v>
      </c>
      <c r="N248" s="34" t="str">
        <f t="shared" ca="1" si="13"/>
        <v>61-90</v>
      </c>
      <c r="O248" s="34">
        <f t="shared" si="14"/>
        <v>0.25</v>
      </c>
      <c r="P248" s="35">
        <f t="shared" si="15"/>
        <v>0.75</v>
      </c>
    </row>
    <row r="249" spans="4:16">
      <c r="D249" s="25" t="s">
        <v>1424</v>
      </c>
      <c r="E249" s="25" t="s">
        <v>1425</v>
      </c>
      <c r="F249" s="27">
        <v>171987774</v>
      </c>
      <c r="G249" s="27">
        <v>20638532.879999999</v>
      </c>
      <c r="H249" s="27">
        <v>619155.98640000005</v>
      </c>
      <c r="I249" s="44">
        <v>52963</v>
      </c>
      <c r="J249" s="25" t="s">
        <v>99</v>
      </c>
      <c r="K249" s="25" t="s">
        <v>125</v>
      </c>
      <c r="L249" s="25" t="s">
        <v>110</v>
      </c>
      <c r="M249" s="45">
        <f t="shared" ca="1" si="12"/>
        <v>246</v>
      </c>
      <c r="N249" s="34" t="str">
        <f t="shared" ca="1" si="13"/>
        <v>90+</v>
      </c>
      <c r="O249" s="34">
        <f t="shared" si="14"/>
        <v>3.0000000000000002E-2</v>
      </c>
      <c r="P249" s="35">
        <f t="shared" si="15"/>
        <v>0.97</v>
      </c>
    </row>
    <row r="250" spans="4:16">
      <c r="D250" s="25" t="s">
        <v>1426</v>
      </c>
      <c r="E250" s="25" t="s">
        <v>1427</v>
      </c>
      <c r="F250" s="27">
        <v>123279717</v>
      </c>
      <c r="G250" s="27">
        <v>19724754.719999999</v>
      </c>
      <c r="H250" s="27">
        <v>4536693.5855999999</v>
      </c>
      <c r="I250" s="44">
        <v>52994</v>
      </c>
      <c r="J250" s="25" t="s">
        <v>99</v>
      </c>
      <c r="K250" s="25" t="s">
        <v>125</v>
      </c>
      <c r="L250" s="25" t="s">
        <v>110</v>
      </c>
      <c r="M250" s="45">
        <f t="shared" ca="1" si="12"/>
        <v>69</v>
      </c>
      <c r="N250" s="34" t="str">
        <f t="shared" ca="1" si="13"/>
        <v>61-90</v>
      </c>
      <c r="O250" s="34">
        <f t="shared" si="14"/>
        <v>0.23</v>
      </c>
      <c r="P250" s="35">
        <f t="shared" si="15"/>
        <v>0.77</v>
      </c>
    </row>
    <row r="251" spans="4:16">
      <c r="D251" s="25" t="s">
        <v>1428</v>
      </c>
      <c r="E251" s="25" t="s">
        <v>1429</v>
      </c>
      <c r="F251" s="27">
        <v>181016566</v>
      </c>
      <c r="G251" s="27">
        <v>115850602.23999999</v>
      </c>
      <c r="H251" s="27">
        <v>6951036.1343999989</v>
      </c>
      <c r="I251" s="44">
        <v>53022</v>
      </c>
      <c r="J251" s="25" t="s">
        <v>99</v>
      </c>
      <c r="K251" s="25" t="s">
        <v>94</v>
      </c>
      <c r="L251" s="25" t="s">
        <v>110</v>
      </c>
      <c r="M251" s="45">
        <f t="shared" ca="1" si="12"/>
        <v>280</v>
      </c>
      <c r="N251" s="34" t="str">
        <f t="shared" ca="1" si="13"/>
        <v>90+</v>
      </c>
      <c r="O251" s="34">
        <f t="shared" si="14"/>
        <v>5.9999999999999991E-2</v>
      </c>
      <c r="P251" s="35">
        <f t="shared" si="15"/>
        <v>0.94000000000000006</v>
      </c>
    </row>
    <row r="252" spans="4:16">
      <c r="D252" s="25" t="s">
        <v>1430</v>
      </c>
      <c r="E252" s="25" t="s">
        <v>1431</v>
      </c>
      <c r="F252" s="27">
        <v>100722751</v>
      </c>
      <c r="G252" s="27">
        <v>48346920.479999997</v>
      </c>
      <c r="H252" s="27">
        <v>966938.4095999999</v>
      </c>
      <c r="I252" s="44">
        <v>53053</v>
      </c>
      <c r="J252" s="25" t="s">
        <v>99</v>
      </c>
      <c r="K252" s="25" t="s">
        <v>94</v>
      </c>
      <c r="L252" s="25" t="s">
        <v>114</v>
      </c>
      <c r="M252" s="45">
        <f t="shared" ca="1" si="12"/>
        <v>84</v>
      </c>
      <c r="N252" s="34" t="str">
        <f t="shared" ca="1" si="13"/>
        <v>61-90</v>
      </c>
      <c r="O252" s="34">
        <f t="shared" si="14"/>
        <v>0.02</v>
      </c>
      <c r="P252" s="35">
        <f t="shared" si="15"/>
        <v>0.98</v>
      </c>
    </row>
    <row r="253" spans="4:16">
      <c r="D253" s="25" t="s">
        <v>1432</v>
      </c>
      <c r="E253" s="25" t="s">
        <v>1433</v>
      </c>
      <c r="F253" s="27">
        <v>176571300</v>
      </c>
      <c r="G253" s="27">
        <v>130662762</v>
      </c>
      <c r="H253" s="27">
        <v>77091029.579999998</v>
      </c>
      <c r="I253" s="44">
        <v>53083</v>
      </c>
      <c r="J253" s="25" t="s">
        <v>99</v>
      </c>
      <c r="K253" s="25" t="s">
        <v>89</v>
      </c>
      <c r="L253" s="25" t="s">
        <v>121</v>
      </c>
      <c r="M253" s="45">
        <f t="shared" ca="1" si="12"/>
        <v>48</v>
      </c>
      <c r="N253" s="34" t="str">
        <f t="shared" ca="1" si="13"/>
        <v>31-60</v>
      </c>
      <c r="O253" s="34">
        <f t="shared" si="14"/>
        <v>0.59</v>
      </c>
      <c r="P253" s="35">
        <f t="shared" si="15"/>
        <v>0.41000000000000003</v>
      </c>
    </row>
    <row r="254" spans="4:16">
      <c r="D254" s="25" t="s">
        <v>1434</v>
      </c>
      <c r="E254" s="25" t="s">
        <v>1435</v>
      </c>
      <c r="F254" s="27">
        <v>139683214</v>
      </c>
      <c r="G254" s="27">
        <v>104762410.5</v>
      </c>
      <c r="H254" s="27">
        <v>25142978.52</v>
      </c>
      <c r="I254" s="44">
        <v>53114</v>
      </c>
      <c r="J254" s="25" t="s">
        <v>52</v>
      </c>
      <c r="K254" s="25" t="s">
        <v>56</v>
      </c>
      <c r="L254" s="25" t="s">
        <v>114</v>
      </c>
      <c r="M254" s="45">
        <f t="shared" ca="1" si="12"/>
        <v>335</v>
      </c>
      <c r="N254" s="34" t="str">
        <f t="shared" ca="1" si="13"/>
        <v>90+</v>
      </c>
      <c r="O254" s="34">
        <f t="shared" si="14"/>
        <v>0.24</v>
      </c>
      <c r="P254" s="35">
        <f t="shared" si="15"/>
        <v>0.76</v>
      </c>
    </row>
    <row r="255" spans="4:16">
      <c r="D255" s="25" t="s">
        <v>1436</v>
      </c>
      <c r="E255" s="25" t="s">
        <v>1437</v>
      </c>
      <c r="F255" s="27">
        <v>79738930</v>
      </c>
      <c r="G255" s="27">
        <v>38274686.399999999</v>
      </c>
      <c r="H255" s="27">
        <v>4210215.5039999997</v>
      </c>
      <c r="I255" s="44">
        <v>53144</v>
      </c>
      <c r="J255" s="25" t="s">
        <v>52</v>
      </c>
      <c r="K255" s="25" t="s">
        <v>89</v>
      </c>
      <c r="L255" s="25" t="s">
        <v>110</v>
      </c>
      <c r="M255" s="45">
        <f t="shared" ca="1" si="12"/>
        <v>357</v>
      </c>
      <c r="N255" s="34" t="str">
        <f t="shared" ca="1" si="13"/>
        <v>90+</v>
      </c>
      <c r="O255" s="34">
        <f t="shared" si="14"/>
        <v>0.11</v>
      </c>
      <c r="P255" s="35">
        <f t="shared" si="15"/>
        <v>0.89</v>
      </c>
    </row>
    <row r="256" spans="4:16">
      <c r="D256" s="25" t="s">
        <v>1438</v>
      </c>
      <c r="E256" s="25" t="s">
        <v>1439</v>
      </c>
      <c r="F256" s="27">
        <v>174322246</v>
      </c>
      <c r="G256" s="27">
        <v>55783118.719999999</v>
      </c>
      <c r="H256" s="27">
        <v>20081922.7392</v>
      </c>
      <c r="I256" s="44">
        <v>53175</v>
      </c>
      <c r="J256" s="25" t="s">
        <v>99</v>
      </c>
      <c r="K256" s="25" t="s">
        <v>109</v>
      </c>
      <c r="L256" s="25" t="s">
        <v>90</v>
      </c>
      <c r="M256" s="45">
        <f t="shared" ca="1" si="12"/>
        <v>230</v>
      </c>
      <c r="N256" s="34" t="str">
        <f t="shared" ca="1" si="13"/>
        <v>90+</v>
      </c>
      <c r="O256" s="34">
        <f t="shared" si="14"/>
        <v>0.36</v>
      </c>
      <c r="P256" s="35">
        <f t="shared" si="15"/>
        <v>0.64</v>
      </c>
    </row>
    <row r="257" spans="4:16">
      <c r="D257" s="25" t="s">
        <v>1440</v>
      </c>
      <c r="E257" s="25" t="s">
        <v>1441</v>
      </c>
      <c r="F257" s="27">
        <v>95464436</v>
      </c>
      <c r="G257" s="27">
        <v>46777573.640000001</v>
      </c>
      <c r="H257" s="27">
        <v>16372150.774</v>
      </c>
      <c r="I257" s="44">
        <v>53206</v>
      </c>
      <c r="J257" s="25" t="s">
        <v>52</v>
      </c>
      <c r="K257" s="25" t="s">
        <v>56</v>
      </c>
      <c r="L257" s="25" t="s">
        <v>110</v>
      </c>
      <c r="M257" s="45">
        <f t="shared" ca="1" si="12"/>
        <v>76</v>
      </c>
      <c r="N257" s="34" t="str">
        <f t="shared" ca="1" si="13"/>
        <v>61-90</v>
      </c>
      <c r="O257" s="34">
        <f t="shared" si="14"/>
        <v>0.35</v>
      </c>
      <c r="P257" s="35">
        <f t="shared" si="15"/>
        <v>0.65</v>
      </c>
    </row>
    <row r="258" spans="4:16">
      <c r="D258" s="25" t="s">
        <v>1442</v>
      </c>
      <c r="E258" s="25" t="s">
        <v>1443</v>
      </c>
      <c r="F258" s="27">
        <v>130686881</v>
      </c>
      <c r="G258" s="27">
        <v>53581621.210000001</v>
      </c>
      <c r="H258" s="27">
        <v>8037243.1814999999</v>
      </c>
      <c r="I258" s="44">
        <v>53236</v>
      </c>
      <c r="J258" s="25" t="s">
        <v>52</v>
      </c>
      <c r="K258" s="25" t="s">
        <v>125</v>
      </c>
      <c r="L258" s="25" t="s">
        <v>121</v>
      </c>
      <c r="M258" s="45">
        <f t="shared" ca="1" si="12"/>
        <v>44</v>
      </c>
      <c r="N258" s="34" t="str">
        <f t="shared" ca="1" si="13"/>
        <v>31-60</v>
      </c>
      <c r="O258" s="34">
        <f t="shared" si="14"/>
        <v>0.15</v>
      </c>
      <c r="P258" s="35">
        <f t="shared" si="15"/>
        <v>0.85</v>
      </c>
    </row>
    <row r="259" spans="4:16">
      <c r="D259" s="25" t="s">
        <v>1444</v>
      </c>
      <c r="E259" s="25" t="s">
        <v>1445</v>
      </c>
      <c r="F259" s="27">
        <v>92906527</v>
      </c>
      <c r="G259" s="27">
        <v>38091676.07</v>
      </c>
      <c r="H259" s="27">
        <v>19807671.556400001</v>
      </c>
      <c r="I259" s="44">
        <v>53267</v>
      </c>
      <c r="J259" s="25" t="s">
        <v>133</v>
      </c>
      <c r="K259" s="25" t="s">
        <v>56</v>
      </c>
      <c r="L259" s="25" t="s">
        <v>95</v>
      </c>
      <c r="M259" s="45">
        <f t="shared" ca="1" si="12"/>
        <v>176</v>
      </c>
      <c r="N259" s="34" t="str">
        <f t="shared" ca="1" si="13"/>
        <v>90+</v>
      </c>
      <c r="O259" s="34">
        <f t="shared" si="14"/>
        <v>0.52</v>
      </c>
      <c r="P259" s="35">
        <f t="shared" si="15"/>
        <v>0.48</v>
      </c>
    </row>
    <row r="260" spans="4:16">
      <c r="D260" s="25" t="s">
        <v>1446</v>
      </c>
      <c r="E260" s="25" t="s">
        <v>1447</v>
      </c>
      <c r="F260" s="27">
        <v>65922753</v>
      </c>
      <c r="G260" s="27">
        <v>63945070.409999996</v>
      </c>
      <c r="H260" s="27">
        <v>22380774.6435</v>
      </c>
      <c r="I260" s="44">
        <v>53297</v>
      </c>
      <c r="J260" s="25" t="s">
        <v>52</v>
      </c>
      <c r="K260" s="25" t="s">
        <v>89</v>
      </c>
      <c r="L260" s="25" t="s">
        <v>121</v>
      </c>
      <c r="M260" s="45">
        <f t="shared" ca="1" si="12"/>
        <v>257</v>
      </c>
      <c r="N260" s="34" t="str">
        <f t="shared" ca="1" si="13"/>
        <v>90+</v>
      </c>
      <c r="O260" s="34">
        <f t="shared" si="14"/>
        <v>0.35000000000000003</v>
      </c>
      <c r="P260" s="35">
        <f t="shared" si="15"/>
        <v>0.64999999999999991</v>
      </c>
    </row>
    <row r="261" spans="4:16">
      <c r="D261" s="25" t="s">
        <v>1448</v>
      </c>
      <c r="E261" s="25" t="s">
        <v>1449</v>
      </c>
      <c r="F261" s="27">
        <v>146466941</v>
      </c>
      <c r="G261" s="27">
        <v>89344834.010000005</v>
      </c>
      <c r="H261" s="27">
        <v>6254138.3807000006</v>
      </c>
      <c r="I261" s="44">
        <v>53328</v>
      </c>
      <c r="J261" s="25" t="s">
        <v>52</v>
      </c>
      <c r="K261" s="25" t="s">
        <v>94</v>
      </c>
      <c r="L261" s="25" t="s">
        <v>110</v>
      </c>
      <c r="M261" s="45">
        <f t="shared" ca="1" si="12"/>
        <v>212</v>
      </c>
      <c r="N261" s="34" t="str">
        <f t="shared" ca="1" si="13"/>
        <v>90+</v>
      </c>
      <c r="O261" s="34">
        <f t="shared" si="14"/>
        <v>7.0000000000000007E-2</v>
      </c>
      <c r="P261" s="35">
        <f t="shared" si="15"/>
        <v>0.92999999999999994</v>
      </c>
    </row>
    <row r="262" spans="4:16">
      <c r="D262" s="25" t="s">
        <v>1450</v>
      </c>
      <c r="E262" s="25" t="s">
        <v>1451</v>
      </c>
      <c r="F262" s="27">
        <v>129433334</v>
      </c>
      <c r="G262" s="27">
        <v>125550333.98</v>
      </c>
      <c r="H262" s="27">
        <v>35154093.514399998</v>
      </c>
      <c r="I262" s="44">
        <v>53359</v>
      </c>
      <c r="J262" s="25" t="s">
        <v>52</v>
      </c>
      <c r="K262" s="25" t="s">
        <v>94</v>
      </c>
      <c r="L262" s="25" t="s">
        <v>110</v>
      </c>
      <c r="M262" s="45">
        <f t="shared" ca="1" si="12"/>
        <v>294</v>
      </c>
      <c r="N262" s="34" t="str">
        <f t="shared" ca="1" si="13"/>
        <v>90+</v>
      </c>
      <c r="O262" s="34">
        <f t="shared" si="14"/>
        <v>0.27999999999999997</v>
      </c>
      <c r="P262" s="35">
        <f t="shared" si="15"/>
        <v>0.72</v>
      </c>
    </row>
    <row r="263" spans="4:16">
      <c r="D263" s="25" t="s">
        <v>1452</v>
      </c>
      <c r="E263" s="25" t="s">
        <v>1453</v>
      </c>
      <c r="F263" s="27">
        <v>181223336</v>
      </c>
      <c r="G263" s="27">
        <v>173974402.56</v>
      </c>
      <c r="H263" s="27">
        <v>12178208.179200001</v>
      </c>
      <c r="I263" s="44">
        <v>53387</v>
      </c>
      <c r="J263" s="25" t="s">
        <v>52</v>
      </c>
      <c r="K263" s="25" t="s">
        <v>94</v>
      </c>
      <c r="L263" s="25" t="s">
        <v>90</v>
      </c>
      <c r="M263" s="45">
        <f t="shared" ca="1" si="12"/>
        <v>170</v>
      </c>
      <c r="N263" s="34" t="str">
        <f t="shared" ca="1" si="13"/>
        <v>90+</v>
      </c>
      <c r="O263" s="34">
        <f t="shared" si="14"/>
        <v>7.0000000000000007E-2</v>
      </c>
      <c r="P263" s="35">
        <f t="shared" si="15"/>
        <v>0.92999999999999994</v>
      </c>
    </row>
    <row r="264" spans="4:16">
      <c r="D264" s="25" t="s">
        <v>1454</v>
      </c>
      <c r="E264" s="25" t="s">
        <v>1455</v>
      </c>
      <c r="F264" s="27">
        <v>183868795</v>
      </c>
      <c r="G264" s="27">
        <v>147095036</v>
      </c>
      <c r="H264" s="27">
        <v>91198922.319999993</v>
      </c>
      <c r="I264" s="44">
        <v>53418</v>
      </c>
      <c r="J264" s="25" t="s">
        <v>52</v>
      </c>
      <c r="K264" s="25" t="s">
        <v>89</v>
      </c>
      <c r="L264" s="25" t="s">
        <v>90</v>
      </c>
      <c r="M264" s="45">
        <f t="shared" ca="1" si="12"/>
        <v>282</v>
      </c>
      <c r="N264" s="34" t="str">
        <f t="shared" ca="1" si="13"/>
        <v>90+</v>
      </c>
      <c r="O264" s="34">
        <f t="shared" si="14"/>
        <v>0.62</v>
      </c>
      <c r="P264" s="35">
        <f t="shared" si="15"/>
        <v>0.38</v>
      </c>
    </row>
    <row r="265" spans="4:16">
      <c r="D265" s="25" t="s">
        <v>1456</v>
      </c>
      <c r="E265" s="25" t="s">
        <v>1457</v>
      </c>
      <c r="F265" s="27">
        <v>81099690</v>
      </c>
      <c r="G265" s="27">
        <v>74611714.799999997</v>
      </c>
      <c r="H265" s="27">
        <v>42528677.435999997</v>
      </c>
      <c r="I265" s="44">
        <v>53448</v>
      </c>
      <c r="J265" s="25" t="s">
        <v>99</v>
      </c>
      <c r="K265" s="25" t="s">
        <v>94</v>
      </c>
      <c r="L265" s="25" t="s">
        <v>95</v>
      </c>
      <c r="M265" s="45">
        <f t="shared" ref="M265:M328" ca="1" si="16">RANDBETWEEN(31,360)</f>
        <v>58</v>
      </c>
      <c r="N265" s="34" t="str">
        <f t="shared" ref="N265:N328" ca="1" si="17">IF(M265&lt;=0,"Current",
IF(M265&lt;=30,"1-30",
IF(M265&lt;=60,"31-60",
IF(M265&lt;=90,"61-90","90+"))))</f>
        <v>31-60</v>
      </c>
      <c r="O265" s="34">
        <f t="shared" ref="O265:O328" si="18">H265/G265</f>
        <v>0.56999999999999995</v>
      </c>
      <c r="P265" s="35">
        <f t="shared" ref="P265:P328" si="19">1-O265</f>
        <v>0.43000000000000005</v>
      </c>
    </row>
    <row r="266" spans="4:16">
      <c r="D266" s="25" t="s">
        <v>1458</v>
      </c>
      <c r="E266" s="25" t="s">
        <v>1459</v>
      </c>
      <c r="F266" s="27">
        <v>139213621</v>
      </c>
      <c r="G266" s="27">
        <v>70998946.709999993</v>
      </c>
      <c r="H266" s="27">
        <v>4259936.8026000001</v>
      </c>
      <c r="I266" s="44">
        <v>53479</v>
      </c>
      <c r="J266" s="25" t="s">
        <v>99</v>
      </c>
      <c r="K266" s="25" t="s">
        <v>89</v>
      </c>
      <c r="L266" s="25" t="s">
        <v>138</v>
      </c>
      <c r="M266" s="45">
        <f t="shared" ca="1" si="16"/>
        <v>324</v>
      </c>
      <c r="N266" s="34" t="str">
        <f t="shared" ca="1" si="17"/>
        <v>90+</v>
      </c>
      <c r="O266" s="34">
        <f t="shared" si="18"/>
        <v>6.0000000000000005E-2</v>
      </c>
      <c r="P266" s="35">
        <f t="shared" si="19"/>
        <v>0.94</v>
      </c>
    </row>
    <row r="267" spans="4:16">
      <c r="D267" s="25" t="s">
        <v>1460</v>
      </c>
      <c r="E267" s="25" t="s">
        <v>1461</v>
      </c>
      <c r="F267" s="27">
        <v>171353026</v>
      </c>
      <c r="G267" s="27">
        <v>39411195.979999997</v>
      </c>
      <c r="H267" s="27">
        <v>4335231.5577999996</v>
      </c>
      <c r="I267" s="44">
        <v>53509</v>
      </c>
      <c r="J267" s="25" t="s">
        <v>52</v>
      </c>
      <c r="K267" s="25" t="s">
        <v>56</v>
      </c>
      <c r="L267" s="25" t="s">
        <v>121</v>
      </c>
      <c r="M267" s="45">
        <f t="shared" ca="1" si="16"/>
        <v>240</v>
      </c>
      <c r="N267" s="34" t="str">
        <f t="shared" ca="1" si="17"/>
        <v>90+</v>
      </c>
      <c r="O267" s="34">
        <f t="shared" si="18"/>
        <v>0.11</v>
      </c>
      <c r="P267" s="35">
        <f t="shared" si="19"/>
        <v>0.89</v>
      </c>
    </row>
    <row r="268" spans="4:16">
      <c r="D268" s="25" t="s">
        <v>1462</v>
      </c>
      <c r="E268" s="25" t="s">
        <v>1463</v>
      </c>
      <c r="F268" s="27">
        <v>50727305</v>
      </c>
      <c r="G268" s="27">
        <v>49712758.899999999</v>
      </c>
      <c r="H268" s="27">
        <v>15410955.258999998</v>
      </c>
      <c r="I268" s="44">
        <v>53540</v>
      </c>
      <c r="J268" s="25" t="s">
        <v>52</v>
      </c>
      <c r="K268" s="25" t="s">
        <v>56</v>
      </c>
      <c r="L268" s="25" t="s">
        <v>138</v>
      </c>
      <c r="M268" s="45">
        <f t="shared" ca="1" si="16"/>
        <v>70</v>
      </c>
      <c r="N268" s="34" t="str">
        <f t="shared" ca="1" si="17"/>
        <v>61-90</v>
      </c>
      <c r="O268" s="34">
        <f t="shared" si="18"/>
        <v>0.30999999999999994</v>
      </c>
      <c r="P268" s="35">
        <f t="shared" si="19"/>
        <v>0.69000000000000006</v>
      </c>
    </row>
    <row r="269" spans="4:16">
      <c r="D269" s="25" t="s">
        <v>1464</v>
      </c>
      <c r="E269" s="25" t="s">
        <v>1465</v>
      </c>
      <c r="F269" s="27">
        <v>136235885</v>
      </c>
      <c r="G269" s="27">
        <v>123974655.34999999</v>
      </c>
      <c r="H269" s="27">
        <v>54548848.353999995</v>
      </c>
      <c r="I269" s="44">
        <v>53571</v>
      </c>
      <c r="J269" s="25" t="s">
        <v>99</v>
      </c>
      <c r="K269" s="25" t="s">
        <v>94</v>
      </c>
      <c r="L269" s="25" t="s">
        <v>110</v>
      </c>
      <c r="M269" s="45">
        <f t="shared" ca="1" si="16"/>
        <v>277</v>
      </c>
      <c r="N269" s="34" t="str">
        <f t="shared" ca="1" si="17"/>
        <v>90+</v>
      </c>
      <c r="O269" s="34">
        <f t="shared" si="18"/>
        <v>0.44</v>
      </c>
      <c r="P269" s="35">
        <f t="shared" si="19"/>
        <v>0.56000000000000005</v>
      </c>
    </row>
    <row r="270" spans="4:16">
      <c r="D270" s="25" t="s">
        <v>1466</v>
      </c>
      <c r="E270" s="25" t="s">
        <v>1467</v>
      </c>
      <c r="F270" s="27">
        <v>193813700</v>
      </c>
      <c r="G270" s="27">
        <v>52329699</v>
      </c>
      <c r="H270" s="27">
        <v>16745503.68</v>
      </c>
      <c r="I270" s="44">
        <v>53601</v>
      </c>
      <c r="J270" s="25" t="s">
        <v>52</v>
      </c>
      <c r="K270" s="25" t="s">
        <v>125</v>
      </c>
      <c r="L270" s="25" t="s">
        <v>95</v>
      </c>
      <c r="M270" s="45">
        <f t="shared" ca="1" si="16"/>
        <v>135</v>
      </c>
      <c r="N270" s="34" t="str">
        <f t="shared" ca="1" si="17"/>
        <v>90+</v>
      </c>
      <c r="O270" s="34">
        <f t="shared" si="18"/>
        <v>0.32</v>
      </c>
      <c r="P270" s="35">
        <f t="shared" si="19"/>
        <v>0.67999999999999994</v>
      </c>
    </row>
    <row r="271" spans="4:16">
      <c r="D271" s="25" t="s">
        <v>1468</v>
      </c>
      <c r="E271" s="25" t="s">
        <v>1469</v>
      </c>
      <c r="F271" s="27">
        <v>124719563</v>
      </c>
      <c r="G271" s="27">
        <v>112247606.7</v>
      </c>
      <c r="H271" s="27">
        <v>41531614.479000002</v>
      </c>
      <c r="I271" s="44">
        <v>53632</v>
      </c>
      <c r="J271" s="25" t="s">
        <v>99</v>
      </c>
      <c r="K271" s="25" t="s">
        <v>134</v>
      </c>
      <c r="L271" s="25" t="s">
        <v>95</v>
      </c>
      <c r="M271" s="45">
        <f t="shared" ca="1" si="16"/>
        <v>178</v>
      </c>
      <c r="N271" s="34" t="str">
        <f t="shared" ca="1" si="17"/>
        <v>90+</v>
      </c>
      <c r="O271" s="34">
        <f t="shared" si="18"/>
        <v>0.37</v>
      </c>
      <c r="P271" s="35">
        <f t="shared" si="19"/>
        <v>0.63</v>
      </c>
    </row>
    <row r="272" spans="4:16">
      <c r="D272" s="25" t="s">
        <v>1470</v>
      </c>
      <c r="E272" s="25" t="s">
        <v>1471</v>
      </c>
      <c r="F272" s="27">
        <v>79084495</v>
      </c>
      <c r="G272" s="27">
        <v>33215487.899999999</v>
      </c>
      <c r="H272" s="27">
        <v>18600673.223999999</v>
      </c>
      <c r="I272" s="44">
        <v>53662</v>
      </c>
      <c r="J272" s="25" t="s">
        <v>99</v>
      </c>
      <c r="K272" s="25" t="s">
        <v>89</v>
      </c>
      <c r="L272" s="25" t="s">
        <v>110</v>
      </c>
      <c r="M272" s="45">
        <f t="shared" ca="1" si="16"/>
        <v>207</v>
      </c>
      <c r="N272" s="34" t="str">
        <f t="shared" ca="1" si="17"/>
        <v>90+</v>
      </c>
      <c r="O272" s="34">
        <f t="shared" si="18"/>
        <v>0.56000000000000005</v>
      </c>
      <c r="P272" s="35">
        <f t="shared" si="19"/>
        <v>0.43999999999999995</v>
      </c>
    </row>
    <row r="273" spans="4:16">
      <c r="D273" s="25" t="s">
        <v>1472</v>
      </c>
      <c r="E273" s="25" t="s">
        <v>1473</v>
      </c>
      <c r="F273" s="27">
        <v>108830552</v>
      </c>
      <c r="G273" s="27">
        <v>57680192.560000002</v>
      </c>
      <c r="H273" s="27">
        <v>576801.92560000008</v>
      </c>
      <c r="I273" s="44">
        <v>53693</v>
      </c>
      <c r="J273" s="25" t="s">
        <v>52</v>
      </c>
      <c r="K273" s="25" t="s">
        <v>94</v>
      </c>
      <c r="L273" s="25" t="s">
        <v>138</v>
      </c>
      <c r="M273" s="45">
        <f t="shared" ca="1" si="16"/>
        <v>162</v>
      </c>
      <c r="N273" s="34" t="str">
        <f t="shared" ca="1" si="17"/>
        <v>90+</v>
      </c>
      <c r="O273" s="34">
        <f t="shared" si="18"/>
        <v>0.01</v>
      </c>
      <c r="P273" s="35">
        <f t="shared" si="19"/>
        <v>0.99</v>
      </c>
    </row>
    <row r="274" spans="4:16">
      <c r="D274" s="25" t="s">
        <v>1474</v>
      </c>
      <c r="E274" s="25" t="s">
        <v>1475</v>
      </c>
      <c r="F274" s="27">
        <v>171567829</v>
      </c>
      <c r="G274" s="27">
        <v>126960193.45999999</v>
      </c>
      <c r="H274" s="27">
        <v>69828106.402999997</v>
      </c>
      <c r="I274" s="44">
        <v>53724</v>
      </c>
      <c r="J274" s="25" t="s">
        <v>52</v>
      </c>
      <c r="K274" s="25" t="s">
        <v>109</v>
      </c>
      <c r="L274" s="25" t="s">
        <v>110</v>
      </c>
      <c r="M274" s="45">
        <f t="shared" ca="1" si="16"/>
        <v>189</v>
      </c>
      <c r="N274" s="34" t="str">
        <f t="shared" ca="1" si="17"/>
        <v>90+</v>
      </c>
      <c r="O274" s="34">
        <f t="shared" si="18"/>
        <v>0.55000000000000004</v>
      </c>
      <c r="P274" s="35">
        <f t="shared" si="19"/>
        <v>0.44999999999999996</v>
      </c>
    </row>
    <row r="275" spans="4:16">
      <c r="D275" s="25" t="s">
        <v>1476</v>
      </c>
      <c r="E275" s="25" t="s">
        <v>1477</v>
      </c>
      <c r="F275" s="27">
        <v>116887327</v>
      </c>
      <c r="G275" s="27">
        <v>91172115.060000002</v>
      </c>
      <c r="H275" s="27">
        <v>40115730.626400001</v>
      </c>
      <c r="I275" s="44">
        <v>53752</v>
      </c>
      <c r="J275" s="25" t="s">
        <v>133</v>
      </c>
      <c r="K275" s="25" t="s">
        <v>94</v>
      </c>
      <c r="L275" s="25" t="s">
        <v>110</v>
      </c>
      <c r="M275" s="45">
        <f t="shared" ca="1" si="16"/>
        <v>321</v>
      </c>
      <c r="N275" s="34" t="str">
        <f t="shared" ca="1" si="17"/>
        <v>90+</v>
      </c>
      <c r="O275" s="34">
        <f t="shared" si="18"/>
        <v>0.44</v>
      </c>
      <c r="P275" s="35">
        <f t="shared" si="19"/>
        <v>0.56000000000000005</v>
      </c>
    </row>
    <row r="276" spans="4:16">
      <c r="D276" s="25" t="s">
        <v>1478</v>
      </c>
      <c r="E276" s="25" t="s">
        <v>1479</v>
      </c>
      <c r="F276" s="27">
        <v>81037665</v>
      </c>
      <c r="G276" s="27">
        <v>67261261.950000003</v>
      </c>
      <c r="H276" s="27">
        <v>16815315.487500001</v>
      </c>
      <c r="I276" s="44">
        <v>53783</v>
      </c>
      <c r="J276" s="25" t="s">
        <v>99</v>
      </c>
      <c r="K276" s="25" t="s">
        <v>125</v>
      </c>
      <c r="L276" s="25" t="s">
        <v>95</v>
      </c>
      <c r="M276" s="45">
        <f t="shared" ca="1" si="16"/>
        <v>163</v>
      </c>
      <c r="N276" s="34" t="str">
        <f t="shared" ca="1" si="17"/>
        <v>90+</v>
      </c>
      <c r="O276" s="34">
        <f t="shared" si="18"/>
        <v>0.25</v>
      </c>
      <c r="P276" s="35">
        <f t="shared" si="19"/>
        <v>0.75</v>
      </c>
    </row>
    <row r="277" spans="4:16">
      <c r="D277" s="25" t="s">
        <v>1480</v>
      </c>
      <c r="E277" s="25" t="s">
        <v>1481</v>
      </c>
      <c r="F277" s="27">
        <v>126179996</v>
      </c>
      <c r="G277" s="27">
        <v>98420396.879999995</v>
      </c>
      <c r="H277" s="27">
        <v>62989054.003199995</v>
      </c>
      <c r="I277" s="44">
        <v>53813</v>
      </c>
      <c r="J277" s="25" t="s">
        <v>52</v>
      </c>
      <c r="K277" s="25" t="s">
        <v>109</v>
      </c>
      <c r="L277" s="25" t="s">
        <v>110</v>
      </c>
      <c r="M277" s="45">
        <f t="shared" ca="1" si="16"/>
        <v>354</v>
      </c>
      <c r="N277" s="34" t="str">
        <f t="shared" ca="1" si="17"/>
        <v>90+</v>
      </c>
      <c r="O277" s="34">
        <f t="shared" si="18"/>
        <v>0.64</v>
      </c>
      <c r="P277" s="35">
        <f t="shared" si="19"/>
        <v>0.36</v>
      </c>
    </row>
    <row r="278" spans="4:16">
      <c r="D278" s="25" t="s">
        <v>1482</v>
      </c>
      <c r="E278" s="25" t="s">
        <v>1483</v>
      </c>
      <c r="F278" s="27">
        <v>150115223</v>
      </c>
      <c r="G278" s="27">
        <v>64549545.890000001</v>
      </c>
      <c r="H278" s="27">
        <v>18719368.3081</v>
      </c>
      <c r="I278" s="44">
        <v>53844</v>
      </c>
      <c r="J278" s="25" t="s">
        <v>52</v>
      </c>
      <c r="K278" s="25" t="s">
        <v>109</v>
      </c>
      <c r="L278" s="25" t="s">
        <v>90</v>
      </c>
      <c r="M278" s="45">
        <f t="shared" ca="1" si="16"/>
        <v>90</v>
      </c>
      <c r="N278" s="34" t="str">
        <f t="shared" ca="1" si="17"/>
        <v>61-90</v>
      </c>
      <c r="O278" s="34">
        <f t="shared" si="18"/>
        <v>0.28999999999999998</v>
      </c>
      <c r="P278" s="35">
        <f t="shared" si="19"/>
        <v>0.71</v>
      </c>
    </row>
    <row r="279" spans="4:16">
      <c r="D279" s="25" t="s">
        <v>1484</v>
      </c>
      <c r="E279" s="25" t="s">
        <v>1485</v>
      </c>
      <c r="F279" s="27">
        <v>120597382</v>
      </c>
      <c r="G279" s="27">
        <v>54268821.899999999</v>
      </c>
      <c r="H279" s="27">
        <v>22250216.979000002</v>
      </c>
      <c r="I279" s="44">
        <v>53874</v>
      </c>
      <c r="J279" s="25" t="s">
        <v>52</v>
      </c>
      <c r="K279" s="25" t="s">
        <v>134</v>
      </c>
      <c r="L279" s="25" t="s">
        <v>90</v>
      </c>
      <c r="M279" s="45">
        <f t="shared" ca="1" si="16"/>
        <v>219</v>
      </c>
      <c r="N279" s="34" t="str">
        <f t="shared" ca="1" si="17"/>
        <v>90+</v>
      </c>
      <c r="O279" s="34">
        <f t="shared" si="18"/>
        <v>0.41000000000000003</v>
      </c>
      <c r="P279" s="35">
        <f t="shared" si="19"/>
        <v>0.59</v>
      </c>
    </row>
    <row r="280" spans="4:16">
      <c r="D280" s="25" t="s">
        <v>1486</v>
      </c>
      <c r="E280" s="25" t="s">
        <v>1487</v>
      </c>
      <c r="F280" s="27">
        <v>189278153</v>
      </c>
      <c r="G280" s="27">
        <v>22713378.359999999</v>
      </c>
      <c r="H280" s="27">
        <v>14082294.5832</v>
      </c>
      <c r="I280" s="44">
        <v>53905</v>
      </c>
      <c r="J280" s="25" t="s">
        <v>52</v>
      </c>
      <c r="K280" s="25" t="s">
        <v>89</v>
      </c>
      <c r="L280" s="25" t="s">
        <v>95</v>
      </c>
      <c r="M280" s="45">
        <f t="shared" ca="1" si="16"/>
        <v>31</v>
      </c>
      <c r="N280" s="34" t="str">
        <f t="shared" ca="1" si="17"/>
        <v>31-60</v>
      </c>
      <c r="O280" s="34">
        <f t="shared" si="18"/>
        <v>0.62</v>
      </c>
      <c r="P280" s="35">
        <f t="shared" si="19"/>
        <v>0.38</v>
      </c>
    </row>
    <row r="281" spans="4:16">
      <c r="D281" s="25" t="s">
        <v>1488</v>
      </c>
      <c r="E281" s="25" t="s">
        <v>1489</v>
      </c>
      <c r="F281" s="27">
        <v>83541591</v>
      </c>
      <c r="G281" s="27">
        <v>58479113.700000003</v>
      </c>
      <c r="H281" s="27">
        <v>14619778.425000001</v>
      </c>
      <c r="I281" s="44">
        <v>53936</v>
      </c>
      <c r="J281" s="25" t="s">
        <v>99</v>
      </c>
      <c r="K281" s="25" t="s">
        <v>109</v>
      </c>
      <c r="L281" s="25" t="s">
        <v>121</v>
      </c>
      <c r="M281" s="45">
        <f t="shared" ca="1" si="16"/>
        <v>76</v>
      </c>
      <c r="N281" s="34" t="str">
        <f t="shared" ca="1" si="17"/>
        <v>61-90</v>
      </c>
      <c r="O281" s="34">
        <f t="shared" si="18"/>
        <v>0.25</v>
      </c>
      <c r="P281" s="35">
        <f t="shared" si="19"/>
        <v>0.75</v>
      </c>
    </row>
    <row r="282" spans="4:16">
      <c r="D282" s="25" t="s">
        <v>1490</v>
      </c>
      <c r="E282" s="25" t="s">
        <v>1491</v>
      </c>
      <c r="F282" s="27">
        <v>90477873</v>
      </c>
      <c r="G282" s="27">
        <v>72382298.400000006</v>
      </c>
      <c r="H282" s="27">
        <v>39086441.136000007</v>
      </c>
      <c r="I282" s="44">
        <v>53966</v>
      </c>
      <c r="J282" s="25" t="s">
        <v>52</v>
      </c>
      <c r="K282" s="25" t="s">
        <v>125</v>
      </c>
      <c r="L282" s="25" t="s">
        <v>121</v>
      </c>
      <c r="M282" s="45">
        <f t="shared" ca="1" si="16"/>
        <v>74</v>
      </c>
      <c r="N282" s="34" t="str">
        <f t="shared" ca="1" si="17"/>
        <v>61-90</v>
      </c>
      <c r="O282" s="34">
        <f t="shared" si="18"/>
        <v>0.54</v>
      </c>
      <c r="P282" s="35">
        <f t="shared" si="19"/>
        <v>0.45999999999999996</v>
      </c>
    </row>
    <row r="283" spans="4:16">
      <c r="D283" s="25" t="s">
        <v>1492</v>
      </c>
      <c r="E283" s="25" t="s">
        <v>1493</v>
      </c>
      <c r="F283" s="27">
        <v>171694560</v>
      </c>
      <c r="G283" s="27">
        <v>147657321.59999999</v>
      </c>
      <c r="H283" s="27">
        <v>76781807.231999993</v>
      </c>
      <c r="I283" s="44">
        <v>53997</v>
      </c>
      <c r="J283" s="25" t="s">
        <v>52</v>
      </c>
      <c r="K283" s="25" t="s">
        <v>125</v>
      </c>
      <c r="L283" s="25" t="s">
        <v>90</v>
      </c>
      <c r="M283" s="45">
        <f t="shared" ca="1" si="16"/>
        <v>283</v>
      </c>
      <c r="N283" s="34" t="str">
        <f t="shared" ca="1" si="17"/>
        <v>90+</v>
      </c>
      <c r="O283" s="34">
        <f t="shared" si="18"/>
        <v>0.52</v>
      </c>
      <c r="P283" s="35">
        <f t="shared" si="19"/>
        <v>0.48</v>
      </c>
    </row>
    <row r="284" spans="4:16">
      <c r="D284" s="25" t="s">
        <v>1494</v>
      </c>
      <c r="E284" s="25" t="s">
        <v>1495</v>
      </c>
      <c r="F284" s="27">
        <v>67842082</v>
      </c>
      <c r="G284" s="27">
        <v>65806819.539999999</v>
      </c>
      <c r="H284" s="27">
        <v>40800228.114799999</v>
      </c>
      <c r="I284" s="44">
        <v>54027</v>
      </c>
      <c r="J284" s="25" t="s">
        <v>52</v>
      </c>
      <c r="K284" s="25" t="s">
        <v>109</v>
      </c>
      <c r="L284" s="25" t="s">
        <v>121</v>
      </c>
      <c r="M284" s="45">
        <f t="shared" ca="1" si="16"/>
        <v>270</v>
      </c>
      <c r="N284" s="34" t="str">
        <f t="shared" ca="1" si="17"/>
        <v>90+</v>
      </c>
      <c r="O284" s="34">
        <f t="shared" si="18"/>
        <v>0.62</v>
      </c>
      <c r="P284" s="35">
        <f t="shared" si="19"/>
        <v>0.38</v>
      </c>
    </row>
    <row r="285" spans="4:16">
      <c r="D285" s="25" t="s">
        <v>1496</v>
      </c>
      <c r="E285" s="25" t="s">
        <v>1497</v>
      </c>
      <c r="F285" s="27">
        <v>121448135</v>
      </c>
      <c r="G285" s="27">
        <v>80155769.099999994</v>
      </c>
      <c r="H285" s="27">
        <v>20038942.274999999</v>
      </c>
      <c r="I285" s="44">
        <v>54058</v>
      </c>
      <c r="J285" s="25" t="s">
        <v>99</v>
      </c>
      <c r="K285" s="25" t="s">
        <v>134</v>
      </c>
      <c r="L285" s="25" t="s">
        <v>95</v>
      </c>
      <c r="M285" s="45">
        <f t="shared" ca="1" si="16"/>
        <v>355</v>
      </c>
      <c r="N285" s="34" t="str">
        <f t="shared" ca="1" si="17"/>
        <v>90+</v>
      </c>
      <c r="O285" s="34">
        <f t="shared" si="18"/>
        <v>0.25</v>
      </c>
      <c r="P285" s="35">
        <f t="shared" si="19"/>
        <v>0.75</v>
      </c>
    </row>
    <row r="286" spans="4:16">
      <c r="D286" s="25" t="s">
        <v>1498</v>
      </c>
      <c r="E286" s="25" t="s">
        <v>1499</v>
      </c>
      <c r="F286" s="27">
        <v>23459502</v>
      </c>
      <c r="G286" s="27">
        <v>3284330.28</v>
      </c>
      <c r="H286" s="27">
        <v>394119.6336</v>
      </c>
      <c r="I286" s="44">
        <v>54089</v>
      </c>
      <c r="J286" s="25" t="s">
        <v>52</v>
      </c>
      <c r="K286" s="25" t="s">
        <v>134</v>
      </c>
      <c r="L286" s="25" t="s">
        <v>121</v>
      </c>
      <c r="M286" s="45">
        <f t="shared" ca="1" si="16"/>
        <v>219</v>
      </c>
      <c r="N286" s="34" t="str">
        <f t="shared" ca="1" si="17"/>
        <v>90+</v>
      </c>
      <c r="O286" s="34">
        <f t="shared" si="18"/>
        <v>0.12000000000000001</v>
      </c>
      <c r="P286" s="35">
        <f t="shared" si="19"/>
        <v>0.88</v>
      </c>
    </row>
    <row r="287" spans="4:16">
      <c r="D287" s="25" t="s">
        <v>1500</v>
      </c>
      <c r="E287" s="25" t="s">
        <v>1501</v>
      </c>
      <c r="F287" s="27">
        <v>166290496</v>
      </c>
      <c r="G287" s="27">
        <v>69842008.319999993</v>
      </c>
      <c r="H287" s="27">
        <v>2793680.3327999995</v>
      </c>
      <c r="I287" s="44">
        <v>54118</v>
      </c>
      <c r="J287" s="25" t="s">
        <v>133</v>
      </c>
      <c r="K287" s="25" t="s">
        <v>56</v>
      </c>
      <c r="L287" s="25" t="s">
        <v>121</v>
      </c>
      <c r="M287" s="45">
        <f t="shared" ca="1" si="16"/>
        <v>243</v>
      </c>
      <c r="N287" s="34" t="str">
        <f t="shared" ca="1" si="17"/>
        <v>90+</v>
      </c>
      <c r="O287" s="34">
        <f t="shared" si="18"/>
        <v>3.9999999999999994E-2</v>
      </c>
      <c r="P287" s="35">
        <f t="shared" si="19"/>
        <v>0.96</v>
      </c>
    </row>
    <row r="288" spans="4:16">
      <c r="D288" s="25" t="s">
        <v>1502</v>
      </c>
      <c r="E288" s="25" t="s">
        <v>1503</v>
      </c>
      <c r="F288" s="27">
        <v>76378231</v>
      </c>
      <c r="G288" s="27">
        <v>69504190.209999993</v>
      </c>
      <c r="H288" s="27">
        <v>32666969.398699999</v>
      </c>
      <c r="I288" s="44">
        <v>54149</v>
      </c>
      <c r="J288" s="25" t="s">
        <v>99</v>
      </c>
      <c r="K288" s="25" t="s">
        <v>134</v>
      </c>
      <c r="L288" s="25" t="s">
        <v>121</v>
      </c>
      <c r="M288" s="45">
        <f t="shared" ca="1" si="16"/>
        <v>342</v>
      </c>
      <c r="N288" s="34" t="str">
        <f t="shared" ca="1" si="17"/>
        <v>90+</v>
      </c>
      <c r="O288" s="34">
        <f t="shared" si="18"/>
        <v>0.47000000000000003</v>
      </c>
      <c r="P288" s="35">
        <f t="shared" si="19"/>
        <v>0.53</v>
      </c>
    </row>
    <row r="289" spans="4:16">
      <c r="D289" s="25" t="s">
        <v>1504</v>
      </c>
      <c r="E289" s="25" t="s">
        <v>1505</v>
      </c>
      <c r="F289" s="27">
        <v>178901877</v>
      </c>
      <c r="G289" s="27">
        <v>35780375.399999999</v>
      </c>
      <c r="H289" s="27">
        <v>5724860.0639999993</v>
      </c>
      <c r="I289" s="44">
        <v>54179</v>
      </c>
      <c r="J289" s="25" t="s">
        <v>99</v>
      </c>
      <c r="K289" s="25" t="s">
        <v>125</v>
      </c>
      <c r="L289" s="25" t="s">
        <v>138</v>
      </c>
      <c r="M289" s="45">
        <f t="shared" ca="1" si="16"/>
        <v>342</v>
      </c>
      <c r="N289" s="34" t="str">
        <f t="shared" ca="1" si="17"/>
        <v>90+</v>
      </c>
      <c r="O289" s="34">
        <f t="shared" si="18"/>
        <v>0.15999999999999998</v>
      </c>
      <c r="P289" s="35">
        <f t="shared" si="19"/>
        <v>0.84000000000000008</v>
      </c>
    </row>
    <row r="290" spans="4:16">
      <c r="D290" s="25" t="s">
        <v>1506</v>
      </c>
      <c r="E290" s="25" t="s">
        <v>1507</v>
      </c>
      <c r="F290" s="27">
        <v>12253695</v>
      </c>
      <c r="G290" s="27">
        <v>3921182.4</v>
      </c>
      <c r="H290" s="27">
        <v>392118.24</v>
      </c>
      <c r="I290" s="44">
        <v>54210</v>
      </c>
      <c r="J290" s="25" t="s">
        <v>99</v>
      </c>
      <c r="K290" s="25" t="s">
        <v>134</v>
      </c>
      <c r="L290" s="25" t="s">
        <v>121</v>
      </c>
      <c r="M290" s="45">
        <f t="shared" ca="1" si="16"/>
        <v>257</v>
      </c>
      <c r="N290" s="34" t="str">
        <f t="shared" ca="1" si="17"/>
        <v>90+</v>
      </c>
      <c r="O290" s="34">
        <f t="shared" si="18"/>
        <v>0.1</v>
      </c>
      <c r="P290" s="35">
        <f t="shared" si="19"/>
        <v>0.9</v>
      </c>
    </row>
    <row r="291" spans="4:16">
      <c r="D291" s="25" t="s">
        <v>1508</v>
      </c>
      <c r="E291" s="25" t="s">
        <v>1509</v>
      </c>
      <c r="F291" s="27">
        <v>73583157</v>
      </c>
      <c r="G291" s="27">
        <v>33112420.649999999</v>
      </c>
      <c r="H291" s="27">
        <v>3311242.0649999999</v>
      </c>
      <c r="I291" s="44">
        <v>54240</v>
      </c>
      <c r="J291" s="25" t="s">
        <v>99</v>
      </c>
      <c r="K291" s="25" t="s">
        <v>89</v>
      </c>
      <c r="L291" s="25" t="s">
        <v>95</v>
      </c>
      <c r="M291" s="45">
        <f t="shared" ca="1" si="16"/>
        <v>232</v>
      </c>
      <c r="N291" s="34" t="str">
        <f t="shared" ca="1" si="17"/>
        <v>90+</v>
      </c>
      <c r="O291" s="34">
        <f t="shared" si="18"/>
        <v>0.1</v>
      </c>
      <c r="P291" s="35">
        <f t="shared" si="19"/>
        <v>0.9</v>
      </c>
    </row>
    <row r="292" spans="4:16">
      <c r="D292" s="25" t="s">
        <v>1510</v>
      </c>
      <c r="E292" s="25" t="s">
        <v>1511</v>
      </c>
      <c r="F292" s="27">
        <v>188968433</v>
      </c>
      <c r="G292" s="27">
        <v>30234949.280000001</v>
      </c>
      <c r="H292" s="27">
        <v>2721145.4351999997</v>
      </c>
      <c r="I292" s="44">
        <v>54271</v>
      </c>
      <c r="J292" s="25" t="s">
        <v>99</v>
      </c>
      <c r="K292" s="25" t="s">
        <v>56</v>
      </c>
      <c r="L292" s="25" t="s">
        <v>138</v>
      </c>
      <c r="M292" s="45">
        <f t="shared" ca="1" si="16"/>
        <v>79</v>
      </c>
      <c r="N292" s="34" t="str">
        <f t="shared" ca="1" si="17"/>
        <v>61-90</v>
      </c>
      <c r="O292" s="34">
        <f t="shared" si="18"/>
        <v>8.9999999999999983E-2</v>
      </c>
      <c r="P292" s="35">
        <f t="shared" si="19"/>
        <v>0.91</v>
      </c>
    </row>
    <row r="293" spans="4:16">
      <c r="D293" s="25" t="s">
        <v>1512</v>
      </c>
      <c r="E293" s="25" t="s">
        <v>1513</v>
      </c>
      <c r="F293" s="27">
        <v>154252517</v>
      </c>
      <c r="G293" s="27">
        <v>60158481.630000003</v>
      </c>
      <c r="H293" s="27">
        <v>38501428.243200004</v>
      </c>
      <c r="I293" s="44">
        <v>54302</v>
      </c>
      <c r="J293" s="25" t="s">
        <v>52</v>
      </c>
      <c r="K293" s="25" t="s">
        <v>134</v>
      </c>
      <c r="L293" s="25" t="s">
        <v>95</v>
      </c>
      <c r="M293" s="45">
        <f t="shared" ca="1" si="16"/>
        <v>337</v>
      </c>
      <c r="N293" s="34" t="str">
        <f t="shared" ca="1" si="17"/>
        <v>90+</v>
      </c>
      <c r="O293" s="34">
        <f t="shared" si="18"/>
        <v>0.64</v>
      </c>
      <c r="P293" s="35">
        <f t="shared" si="19"/>
        <v>0.36</v>
      </c>
    </row>
    <row r="294" spans="4:16">
      <c r="D294" s="25" t="s">
        <v>1514</v>
      </c>
      <c r="E294" s="25" t="s">
        <v>1515</v>
      </c>
      <c r="F294" s="27">
        <v>89318348</v>
      </c>
      <c r="G294" s="27">
        <v>39300073.119999997</v>
      </c>
      <c r="H294" s="27">
        <v>13362024.8608</v>
      </c>
      <c r="I294" s="44">
        <v>54332</v>
      </c>
      <c r="J294" s="25" t="s">
        <v>99</v>
      </c>
      <c r="K294" s="25" t="s">
        <v>56</v>
      </c>
      <c r="L294" s="25" t="s">
        <v>110</v>
      </c>
      <c r="M294" s="45">
        <f t="shared" ca="1" si="16"/>
        <v>186</v>
      </c>
      <c r="N294" s="34" t="str">
        <f t="shared" ca="1" si="17"/>
        <v>90+</v>
      </c>
      <c r="O294" s="34">
        <f t="shared" si="18"/>
        <v>0.34</v>
      </c>
      <c r="P294" s="35">
        <f t="shared" si="19"/>
        <v>0.65999999999999992</v>
      </c>
    </row>
    <row r="295" spans="4:16">
      <c r="D295" s="25" t="s">
        <v>1516</v>
      </c>
      <c r="E295" s="25" t="s">
        <v>1517</v>
      </c>
      <c r="F295" s="27">
        <v>30758235</v>
      </c>
      <c r="G295" s="27">
        <v>7689558.75</v>
      </c>
      <c r="H295" s="27">
        <v>2229972.0375000001</v>
      </c>
      <c r="I295" s="44">
        <v>54363</v>
      </c>
      <c r="J295" s="25" t="s">
        <v>133</v>
      </c>
      <c r="K295" s="25" t="s">
        <v>89</v>
      </c>
      <c r="L295" s="25" t="s">
        <v>110</v>
      </c>
      <c r="M295" s="45">
        <f t="shared" ca="1" si="16"/>
        <v>297</v>
      </c>
      <c r="N295" s="34" t="str">
        <f t="shared" ca="1" si="17"/>
        <v>90+</v>
      </c>
      <c r="O295" s="34">
        <f t="shared" si="18"/>
        <v>0.29000000000000004</v>
      </c>
      <c r="P295" s="35">
        <f t="shared" si="19"/>
        <v>0.71</v>
      </c>
    </row>
    <row r="296" spans="4:16">
      <c r="D296" s="25" t="s">
        <v>1518</v>
      </c>
      <c r="E296" s="25" t="s">
        <v>1519</v>
      </c>
      <c r="F296" s="27">
        <v>34842182</v>
      </c>
      <c r="G296" s="27">
        <v>17769512.82</v>
      </c>
      <c r="H296" s="27">
        <v>9062451.5382000003</v>
      </c>
      <c r="I296" s="44">
        <v>54393</v>
      </c>
      <c r="J296" s="25" t="s">
        <v>99</v>
      </c>
      <c r="K296" s="25" t="s">
        <v>56</v>
      </c>
      <c r="L296" s="25" t="s">
        <v>110</v>
      </c>
      <c r="M296" s="45">
        <f t="shared" ca="1" si="16"/>
        <v>345</v>
      </c>
      <c r="N296" s="34" t="str">
        <f t="shared" ca="1" si="17"/>
        <v>90+</v>
      </c>
      <c r="O296" s="34">
        <f t="shared" si="18"/>
        <v>0.51</v>
      </c>
      <c r="P296" s="35">
        <f t="shared" si="19"/>
        <v>0.49</v>
      </c>
    </row>
    <row r="297" spans="4:16">
      <c r="D297" s="25" t="s">
        <v>1520</v>
      </c>
      <c r="E297" s="25" t="s">
        <v>1521</v>
      </c>
      <c r="F297" s="27">
        <v>150947338</v>
      </c>
      <c r="G297" s="27">
        <v>63397881.960000001</v>
      </c>
      <c r="H297" s="27">
        <v>31698940.98</v>
      </c>
      <c r="I297" s="44">
        <v>54424</v>
      </c>
      <c r="J297" s="25" t="s">
        <v>133</v>
      </c>
      <c r="K297" s="25" t="s">
        <v>94</v>
      </c>
      <c r="L297" s="25" t="s">
        <v>114</v>
      </c>
      <c r="M297" s="45">
        <f t="shared" ca="1" si="16"/>
        <v>159</v>
      </c>
      <c r="N297" s="34" t="str">
        <f t="shared" ca="1" si="17"/>
        <v>90+</v>
      </c>
      <c r="O297" s="34">
        <f t="shared" si="18"/>
        <v>0.5</v>
      </c>
      <c r="P297" s="35">
        <f t="shared" si="19"/>
        <v>0.5</v>
      </c>
    </row>
    <row r="298" spans="4:16">
      <c r="D298" s="25" t="s">
        <v>1522</v>
      </c>
      <c r="E298" s="25" t="s">
        <v>1523</v>
      </c>
      <c r="F298" s="27">
        <v>55384432</v>
      </c>
      <c r="G298" s="27">
        <v>18830706.879999999</v>
      </c>
      <c r="H298" s="27">
        <v>10168581.7152</v>
      </c>
      <c r="I298" s="44">
        <v>54455</v>
      </c>
      <c r="J298" s="25" t="s">
        <v>133</v>
      </c>
      <c r="K298" s="25" t="s">
        <v>94</v>
      </c>
      <c r="L298" s="25" t="s">
        <v>114</v>
      </c>
      <c r="M298" s="45">
        <f t="shared" ca="1" si="16"/>
        <v>86</v>
      </c>
      <c r="N298" s="34" t="str">
        <f t="shared" ca="1" si="17"/>
        <v>61-90</v>
      </c>
      <c r="O298" s="34">
        <f t="shared" si="18"/>
        <v>0.54</v>
      </c>
      <c r="P298" s="35">
        <f t="shared" si="19"/>
        <v>0.45999999999999996</v>
      </c>
    </row>
    <row r="299" spans="4:16">
      <c r="D299" s="25" t="s">
        <v>1524</v>
      </c>
      <c r="E299" s="25" t="s">
        <v>1525</v>
      </c>
      <c r="F299" s="27">
        <v>27050995</v>
      </c>
      <c r="G299" s="27">
        <v>14066517.4</v>
      </c>
      <c r="H299" s="27">
        <v>4782615.9160000002</v>
      </c>
      <c r="I299" s="44">
        <v>54483</v>
      </c>
      <c r="J299" s="25" t="s">
        <v>99</v>
      </c>
      <c r="K299" s="25" t="s">
        <v>125</v>
      </c>
      <c r="L299" s="25" t="s">
        <v>90</v>
      </c>
      <c r="M299" s="45">
        <f t="shared" ca="1" si="16"/>
        <v>177</v>
      </c>
      <c r="N299" s="34" t="str">
        <f t="shared" ca="1" si="17"/>
        <v>90+</v>
      </c>
      <c r="O299" s="34">
        <f t="shared" si="18"/>
        <v>0.34</v>
      </c>
      <c r="P299" s="35">
        <f t="shared" si="19"/>
        <v>0.65999999999999992</v>
      </c>
    </row>
    <row r="300" spans="4:16">
      <c r="D300" s="25" t="s">
        <v>1526</v>
      </c>
      <c r="E300" s="25" t="s">
        <v>1527</v>
      </c>
      <c r="F300" s="27">
        <v>12277535</v>
      </c>
      <c r="G300" s="27">
        <v>9208151.25</v>
      </c>
      <c r="H300" s="27">
        <v>5248646.2125000004</v>
      </c>
      <c r="I300" s="44">
        <v>54514</v>
      </c>
      <c r="J300" s="25" t="s">
        <v>52</v>
      </c>
      <c r="K300" s="25" t="s">
        <v>109</v>
      </c>
      <c r="L300" s="25" t="s">
        <v>90</v>
      </c>
      <c r="M300" s="45">
        <f t="shared" ca="1" si="16"/>
        <v>259</v>
      </c>
      <c r="N300" s="34" t="str">
        <f t="shared" ca="1" si="17"/>
        <v>90+</v>
      </c>
      <c r="O300" s="34">
        <f t="shared" si="18"/>
        <v>0.57000000000000006</v>
      </c>
      <c r="P300" s="35">
        <f t="shared" si="19"/>
        <v>0.42999999999999994</v>
      </c>
    </row>
    <row r="301" spans="4:16">
      <c r="D301" s="25" t="s">
        <v>1528</v>
      </c>
      <c r="E301" s="25" t="s">
        <v>1529</v>
      </c>
      <c r="F301" s="27">
        <v>197134322</v>
      </c>
      <c r="G301" s="27">
        <v>153764771.16</v>
      </c>
      <c r="H301" s="27">
        <v>72269442.445199996</v>
      </c>
      <c r="I301" s="44">
        <v>54544</v>
      </c>
      <c r="J301" s="25" t="s">
        <v>99</v>
      </c>
      <c r="K301" s="25" t="s">
        <v>125</v>
      </c>
      <c r="L301" s="25" t="s">
        <v>138</v>
      </c>
      <c r="M301" s="45">
        <f t="shared" ca="1" si="16"/>
        <v>59</v>
      </c>
      <c r="N301" s="34" t="str">
        <f t="shared" ca="1" si="17"/>
        <v>31-60</v>
      </c>
      <c r="O301" s="34">
        <f t="shared" si="18"/>
        <v>0.47</v>
      </c>
      <c r="P301" s="35">
        <f t="shared" si="19"/>
        <v>0.53</v>
      </c>
    </row>
    <row r="302" spans="4:16">
      <c r="D302" s="25" t="s">
        <v>1530</v>
      </c>
      <c r="E302" s="25" t="s">
        <v>1531</v>
      </c>
      <c r="F302" s="27">
        <v>23938501</v>
      </c>
      <c r="G302" s="27">
        <v>23699115.989999998</v>
      </c>
      <c r="H302" s="27">
        <v>7109734.7969999993</v>
      </c>
      <c r="I302" s="44">
        <v>54575</v>
      </c>
      <c r="J302" s="25" t="s">
        <v>52</v>
      </c>
      <c r="K302" s="25" t="s">
        <v>109</v>
      </c>
      <c r="L302" s="25" t="s">
        <v>114</v>
      </c>
      <c r="M302" s="45">
        <f t="shared" ca="1" si="16"/>
        <v>39</v>
      </c>
      <c r="N302" s="34" t="str">
        <f t="shared" ca="1" si="17"/>
        <v>31-60</v>
      </c>
      <c r="O302" s="34">
        <f t="shared" si="18"/>
        <v>0.3</v>
      </c>
      <c r="P302" s="35">
        <f t="shared" si="19"/>
        <v>0.7</v>
      </c>
    </row>
    <row r="303" spans="4:16">
      <c r="D303" s="25" t="s">
        <v>1532</v>
      </c>
      <c r="E303" s="25" t="s">
        <v>1533</v>
      </c>
      <c r="F303" s="27">
        <v>128850598</v>
      </c>
      <c r="G303" s="27">
        <v>59271275.079999998</v>
      </c>
      <c r="H303" s="27">
        <v>26079361.0352</v>
      </c>
      <c r="I303" s="44">
        <v>54605</v>
      </c>
      <c r="J303" s="25" t="s">
        <v>99</v>
      </c>
      <c r="K303" s="25" t="s">
        <v>56</v>
      </c>
      <c r="L303" s="25" t="s">
        <v>114</v>
      </c>
      <c r="M303" s="45">
        <f t="shared" ca="1" si="16"/>
        <v>83</v>
      </c>
      <c r="N303" s="34" t="str">
        <f t="shared" ca="1" si="17"/>
        <v>61-90</v>
      </c>
      <c r="O303" s="34">
        <f t="shared" si="18"/>
        <v>0.44</v>
      </c>
      <c r="P303" s="35">
        <f t="shared" si="19"/>
        <v>0.56000000000000005</v>
      </c>
    </row>
    <row r="304" spans="4:16">
      <c r="D304" s="25" t="s">
        <v>1534</v>
      </c>
      <c r="E304" s="25" t="s">
        <v>1535</v>
      </c>
      <c r="F304" s="27">
        <v>176305784</v>
      </c>
      <c r="G304" s="27">
        <v>111072643.92</v>
      </c>
      <c r="H304" s="27">
        <v>51093416.203199998</v>
      </c>
      <c r="I304" s="44">
        <v>54636</v>
      </c>
      <c r="J304" s="25" t="s">
        <v>52</v>
      </c>
      <c r="K304" s="25" t="s">
        <v>109</v>
      </c>
      <c r="L304" s="25" t="s">
        <v>138</v>
      </c>
      <c r="M304" s="45">
        <f t="shared" ca="1" si="16"/>
        <v>276</v>
      </c>
      <c r="N304" s="34" t="str">
        <f t="shared" ca="1" si="17"/>
        <v>90+</v>
      </c>
      <c r="O304" s="34">
        <f t="shared" si="18"/>
        <v>0.45999999999999996</v>
      </c>
      <c r="P304" s="35">
        <f t="shared" si="19"/>
        <v>0.54</v>
      </c>
    </row>
    <row r="305" spans="4:16">
      <c r="D305" s="25" t="s">
        <v>1536</v>
      </c>
      <c r="E305" s="25" t="s">
        <v>1537</v>
      </c>
      <c r="F305" s="27">
        <v>104939190</v>
      </c>
      <c r="G305" s="27">
        <v>93395879.099999994</v>
      </c>
      <c r="H305" s="27">
        <v>40160228.012999997</v>
      </c>
      <c r="I305" s="44">
        <v>54667</v>
      </c>
      <c r="J305" s="25" t="s">
        <v>133</v>
      </c>
      <c r="K305" s="25" t="s">
        <v>125</v>
      </c>
      <c r="L305" s="25" t="s">
        <v>138</v>
      </c>
      <c r="M305" s="45">
        <f t="shared" ca="1" si="16"/>
        <v>149</v>
      </c>
      <c r="N305" s="34" t="str">
        <f t="shared" ca="1" si="17"/>
        <v>90+</v>
      </c>
      <c r="O305" s="34">
        <f t="shared" si="18"/>
        <v>0.43</v>
      </c>
      <c r="P305" s="35">
        <f t="shared" si="19"/>
        <v>0.57000000000000006</v>
      </c>
    </row>
    <row r="306" spans="4:16">
      <c r="D306" s="25" t="s">
        <v>1538</v>
      </c>
      <c r="E306" s="25" t="s">
        <v>1539</v>
      </c>
      <c r="F306" s="27">
        <v>28911704</v>
      </c>
      <c r="G306" s="27">
        <v>17925256.48</v>
      </c>
      <c r="H306" s="27">
        <v>1075515.3887999998</v>
      </c>
      <c r="I306" s="44">
        <v>54697</v>
      </c>
      <c r="J306" s="25" t="s">
        <v>99</v>
      </c>
      <c r="K306" s="25" t="s">
        <v>56</v>
      </c>
      <c r="L306" s="25" t="s">
        <v>110</v>
      </c>
      <c r="M306" s="45">
        <f t="shared" ca="1" si="16"/>
        <v>295</v>
      </c>
      <c r="N306" s="34" t="str">
        <f t="shared" ca="1" si="17"/>
        <v>90+</v>
      </c>
      <c r="O306" s="34">
        <f t="shared" si="18"/>
        <v>5.9999999999999991E-2</v>
      </c>
      <c r="P306" s="35">
        <f t="shared" si="19"/>
        <v>0.94000000000000006</v>
      </c>
    </row>
    <row r="307" spans="4:16">
      <c r="D307" s="25" t="s">
        <v>1540</v>
      </c>
      <c r="E307" s="25" t="s">
        <v>1541</v>
      </c>
      <c r="F307" s="27">
        <v>124828141</v>
      </c>
      <c r="G307" s="27">
        <v>53676100.630000003</v>
      </c>
      <c r="H307" s="27">
        <v>3757327.0441000001</v>
      </c>
      <c r="I307" s="44">
        <v>54728</v>
      </c>
      <c r="J307" s="25" t="s">
        <v>52</v>
      </c>
      <c r="K307" s="25" t="s">
        <v>109</v>
      </c>
      <c r="L307" s="25" t="s">
        <v>114</v>
      </c>
      <c r="M307" s="45">
        <f t="shared" ca="1" si="16"/>
        <v>184</v>
      </c>
      <c r="N307" s="34" t="str">
        <f t="shared" ca="1" si="17"/>
        <v>90+</v>
      </c>
      <c r="O307" s="34">
        <f t="shared" si="18"/>
        <v>6.9999999999999993E-2</v>
      </c>
      <c r="P307" s="35">
        <f t="shared" si="19"/>
        <v>0.93</v>
      </c>
    </row>
    <row r="308" spans="4:16">
      <c r="D308" s="25" t="s">
        <v>1542</v>
      </c>
      <c r="E308" s="25" t="s">
        <v>1543</v>
      </c>
      <c r="F308" s="27">
        <v>36743726</v>
      </c>
      <c r="G308" s="27">
        <v>20943923.82</v>
      </c>
      <c r="H308" s="27">
        <v>1675513.9055999999</v>
      </c>
      <c r="I308" s="44">
        <v>54758</v>
      </c>
      <c r="J308" s="25" t="s">
        <v>52</v>
      </c>
      <c r="K308" s="25" t="s">
        <v>94</v>
      </c>
      <c r="L308" s="25" t="s">
        <v>138</v>
      </c>
      <c r="M308" s="45">
        <f t="shared" ca="1" si="16"/>
        <v>38</v>
      </c>
      <c r="N308" s="34" t="str">
        <f t="shared" ca="1" si="17"/>
        <v>31-60</v>
      </c>
      <c r="O308" s="34">
        <f t="shared" si="18"/>
        <v>0.08</v>
      </c>
      <c r="P308" s="35">
        <f t="shared" si="19"/>
        <v>0.92</v>
      </c>
    </row>
    <row r="309" spans="4:16">
      <c r="D309" s="25" t="s">
        <v>1544</v>
      </c>
      <c r="E309" s="25" t="s">
        <v>1545</v>
      </c>
      <c r="F309" s="27">
        <v>79129471</v>
      </c>
      <c r="G309" s="27">
        <v>18991073.039999999</v>
      </c>
      <c r="H309" s="27">
        <v>9115715.0592</v>
      </c>
      <c r="I309" s="44">
        <v>54789</v>
      </c>
      <c r="J309" s="25" t="s">
        <v>99</v>
      </c>
      <c r="K309" s="25" t="s">
        <v>89</v>
      </c>
      <c r="L309" s="25" t="s">
        <v>121</v>
      </c>
      <c r="M309" s="45">
        <f t="shared" ca="1" si="16"/>
        <v>71</v>
      </c>
      <c r="N309" s="34" t="str">
        <f t="shared" ca="1" si="17"/>
        <v>61-90</v>
      </c>
      <c r="O309" s="34">
        <f t="shared" si="18"/>
        <v>0.48000000000000004</v>
      </c>
      <c r="P309" s="35">
        <f t="shared" si="19"/>
        <v>0.52</v>
      </c>
    </row>
    <row r="310" spans="4:16">
      <c r="D310" s="25" t="s">
        <v>1546</v>
      </c>
      <c r="E310" s="25" t="s">
        <v>1547</v>
      </c>
      <c r="F310" s="27">
        <v>189498697</v>
      </c>
      <c r="G310" s="27">
        <v>113699218.2</v>
      </c>
      <c r="H310" s="27">
        <v>43205702.916000001</v>
      </c>
      <c r="I310" s="44">
        <v>54820</v>
      </c>
      <c r="J310" s="25" t="s">
        <v>52</v>
      </c>
      <c r="K310" s="25" t="s">
        <v>89</v>
      </c>
      <c r="L310" s="25" t="s">
        <v>90</v>
      </c>
      <c r="M310" s="45">
        <f t="shared" ca="1" si="16"/>
        <v>250</v>
      </c>
      <c r="N310" s="34" t="str">
        <f t="shared" ca="1" si="17"/>
        <v>90+</v>
      </c>
      <c r="O310" s="34">
        <f t="shared" si="18"/>
        <v>0.38</v>
      </c>
      <c r="P310" s="35">
        <f t="shared" si="19"/>
        <v>0.62</v>
      </c>
    </row>
    <row r="311" spans="4:16">
      <c r="D311" s="25" t="s">
        <v>1548</v>
      </c>
      <c r="E311" s="25" t="s">
        <v>1549</v>
      </c>
      <c r="F311" s="27">
        <v>159982606</v>
      </c>
      <c r="G311" s="27">
        <v>145584171.46000001</v>
      </c>
      <c r="H311" s="27">
        <v>52410301.725600004</v>
      </c>
      <c r="I311" s="44">
        <v>54848</v>
      </c>
      <c r="J311" s="25" t="s">
        <v>99</v>
      </c>
      <c r="K311" s="25" t="s">
        <v>56</v>
      </c>
      <c r="L311" s="25" t="s">
        <v>114</v>
      </c>
      <c r="M311" s="45">
        <f t="shared" ca="1" si="16"/>
        <v>211</v>
      </c>
      <c r="N311" s="34" t="str">
        <f t="shared" ca="1" si="17"/>
        <v>90+</v>
      </c>
      <c r="O311" s="34">
        <f t="shared" si="18"/>
        <v>0.36</v>
      </c>
      <c r="P311" s="35">
        <f t="shared" si="19"/>
        <v>0.64</v>
      </c>
    </row>
    <row r="312" spans="4:16">
      <c r="D312" s="25" t="s">
        <v>1550</v>
      </c>
      <c r="E312" s="25" t="s">
        <v>1551</v>
      </c>
      <c r="F312" s="27">
        <v>98820303</v>
      </c>
      <c r="G312" s="27">
        <v>67197806.040000007</v>
      </c>
      <c r="H312" s="27">
        <v>25535166.295200005</v>
      </c>
      <c r="I312" s="44">
        <v>54879</v>
      </c>
      <c r="J312" s="25" t="s">
        <v>133</v>
      </c>
      <c r="K312" s="25" t="s">
        <v>89</v>
      </c>
      <c r="L312" s="25" t="s">
        <v>95</v>
      </c>
      <c r="M312" s="45">
        <f t="shared" ca="1" si="16"/>
        <v>227</v>
      </c>
      <c r="N312" s="34" t="str">
        <f t="shared" ca="1" si="17"/>
        <v>90+</v>
      </c>
      <c r="O312" s="34">
        <f t="shared" si="18"/>
        <v>0.38000000000000006</v>
      </c>
      <c r="P312" s="35">
        <f t="shared" si="19"/>
        <v>0.61999999999999988</v>
      </c>
    </row>
    <row r="313" spans="4:16">
      <c r="D313" s="25" t="s">
        <v>1552</v>
      </c>
      <c r="E313" s="25" t="s">
        <v>1553</v>
      </c>
      <c r="F313" s="27">
        <v>74909568</v>
      </c>
      <c r="G313" s="27">
        <v>19476487.68</v>
      </c>
      <c r="H313" s="27">
        <v>7595830.1952</v>
      </c>
      <c r="I313" s="44">
        <v>54909</v>
      </c>
      <c r="J313" s="25" t="s">
        <v>52</v>
      </c>
      <c r="K313" s="25" t="s">
        <v>109</v>
      </c>
      <c r="L313" s="25" t="s">
        <v>138</v>
      </c>
      <c r="M313" s="45">
        <f t="shared" ca="1" si="16"/>
        <v>222</v>
      </c>
      <c r="N313" s="34" t="str">
        <f t="shared" ca="1" si="17"/>
        <v>90+</v>
      </c>
      <c r="O313" s="34">
        <f t="shared" si="18"/>
        <v>0.39</v>
      </c>
      <c r="P313" s="35">
        <f t="shared" si="19"/>
        <v>0.61</v>
      </c>
    </row>
    <row r="314" spans="4:16">
      <c r="D314" s="25" t="s">
        <v>1554</v>
      </c>
      <c r="E314" s="25" t="s">
        <v>1555</v>
      </c>
      <c r="F314" s="27">
        <v>9504846</v>
      </c>
      <c r="G314" s="27">
        <v>7128634.5</v>
      </c>
      <c r="H314" s="27">
        <v>1283154.21</v>
      </c>
      <c r="I314" s="44">
        <v>54940</v>
      </c>
      <c r="J314" s="25" t="s">
        <v>52</v>
      </c>
      <c r="K314" s="25" t="s">
        <v>134</v>
      </c>
      <c r="L314" s="25" t="s">
        <v>110</v>
      </c>
      <c r="M314" s="45">
        <f t="shared" ca="1" si="16"/>
        <v>86</v>
      </c>
      <c r="N314" s="34" t="str">
        <f t="shared" ca="1" si="17"/>
        <v>61-90</v>
      </c>
      <c r="O314" s="34">
        <f t="shared" si="18"/>
        <v>0.18</v>
      </c>
      <c r="P314" s="35">
        <f t="shared" si="19"/>
        <v>0.82000000000000006</v>
      </c>
    </row>
    <row r="315" spans="4:16">
      <c r="D315" s="25" t="s">
        <v>1556</v>
      </c>
      <c r="E315" s="25" t="s">
        <v>1557</v>
      </c>
      <c r="F315" s="27">
        <v>92839851</v>
      </c>
      <c r="G315" s="27">
        <v>41777932.950000003</v>
      </c>
      <c r="H315" s="27">
        <v>15875614.521000002</v>
      </c>
      <c r="I315" s="44">
        <v>54970</v>
      </c>
      <c r="J315" s="25" t="s">
        <v>52</v>
      </c>
      <c r="K315" s="25" t="s">
        <v>134</v>
      </c>
      <c r="L315" s="25" t="s">
        <v>90</v>
      </c>
      <c r="M315" s="45">
        <f t="shared" ca="1" si="16"/>
        <v>93</v>
      </c>
      <c r="N315" s="34" t="str">
        <f t="shared" ca="1" si="17"/>
        <v>90+</v>
      </c>
      <c r="O315" s="34">
        <f t="shared" si="18"/>
        <v>0.38</v>
      </c>
      <c r="P315" s="35">
        <f t="shared" si="19"/>
        <v>0.62</v>
      </c>
    </row>
    <row r="316" spans="4:16">
      <c r="D316" s="25" t="s">
        <v>1558</v>
      </c>
      <c r="E316" s="25" t="s">
        <v>1559</v>
      </c>
      <c r="F316" s="27">
        <v>132559987</v>
      </c>
      <c r="G316" s="27">
        <v>35791196.490000002</v>
      </c>
      <c r="H316" s="27">
        <v>357911.96490000002</v>
      </c>
      <c r="I316" s="44">
        <v>55001</v>
      </c>
      <c r="J316" s="25" t="s">
        <v>52</v>
      </c>
      <c r="K316" s="25" t="s">
        <v>109</v>
      </c>
      <c r="L316" s="25" t="s">
        <v>121</v>
      </c>
      <c r="M316" s="45">
        <f t="shared" ca="1" si="16"/>
        <v>147</v>
      </c>
      <c r="N316" s="34" t="str">
        <f t="shared" ca="1" si="17"/>
        <v>90+</v>
      </c>
      <c r="O316" s="34">
        <f t="shared" si="18"/>
        <v>0.01</v>
      </c>
      <c r="P316" s="35">
        <f t="shared" si="19"/>
        <v>0.99</v>
      </c>
    </row>
    <row r="317" spans="4:16">
      <c r="D317" s="25" t="s">
        <v>1560</v>
      </c>
      <c r="E317" s="25" t="s">
        <v>1561</v>
      </c>
      <c r="F317" s="27">
        <v>142820805</v>
      </c>
      <c r="G317" s="27">
        <v>82836066.900000006</v>
      </c>
      <c r="H317" s="27">
        <v>15738852.711000001</v>
      </c>
      <c r="I317" s="44">
        <v>55032</v>
      </c>
      <c r="J317" s="25" t="s">
        <v>52</v>
      </c>
      <c r="K317" s="25" t="s">
        <v>109</v>
      </c>
      <c r="L317" s="25" t="s">
        <v>90</v>
      </c>
      <c r="M317" s="45">
        <f t="shared" ca="1" si="16"/>
        <v>149</v>
      </c>
      <c r="N317" s="34" t="str">
        <f t="shared" ca="1" si="17"/>
        <v>90+</v>
      </c>
      <c r="O317" s="34">
        <f t="shared" si="18"/>
        <v>0.19</v>
      </c>
      <c r="P317" s="35">
        <f t="shared" si="19"/>
        <v>0.81</v>
      </c>
    </row>
    <row r="318" spans="4:16">
      <c r="D318" s="25" t="s">
        <v>1562</v>
      </c>
      <c r="E318" s="25" t="s">
        <v>1563</v>
      </c>
      <c r="F318" s="27">
        <v>43581332</v>
      </c>
      <c r="G318" s="27">
        <v>7408826.4400000004</v>
      </c>
      <c r="H318" s="27">
        <v>2667177.5183999999</v>
      </c>
      <c r="I318" s="44">
        <v>55062</v>
      </c>
      <c r="J318" s="25" t="s">
        <v>52</v>
      </c>
      <c r="K318" s="25" t="s">
        <v>89</v>
      </c>
      <c r="L318" s="25" t="s">
        <v>110</v>
      </c>
      <c r="M318" s="45">
        <f t="shared" ca="1" si="16"/>
        <v>339</v>
      </c>
      <c r="N318" s="34" t="str">
        <f t="shared" ca="1" si="17"/>
        <v>90+</v>
      </c>
      <c r="O318" s="34">
        <f t="shared" si="18"/>
        <v>0.36</v>
      </c>
      <c r="P318" s="35">
        <f t="shared" si="19"/>
        <v>0.64</v>
      </c>
    </row>
    <row r="319" spans="4:16">
      <c r="D319" s="25" t="s">
        <v>1564</v>
      </c>
      <c r="E319" s="25" t="s">
        <v>1565</v>
      </c>
      <c r="F319" s="27">
        <v>135829032</v>
      </c>
      <c r="G319" s="27">
        <v>123604419.12</v>
      </c>
      <c r="H319" s="27">
        <v>64274297.942400001</v>
      </c>
      <c r="I319" s="44">
        <v>55093</v>
      </c>
      <c r="J319" s="25" t="s">
        <v>99</v>
      </c>
      <c r="K319" s="25" t="s">
        <v>56</v>
      </c>
      <c r="L319" s="25" t="s">
        <v>95</v>
      </c>
      <c r="M319" s="45">
        <f t="shared" ca="1" si="16"/>
        <v>123</v>
      </c>
      <c r="N319" s="34" t="str">
        <f t="shared" ca="1" si="17"/>
        <v>90+</v>
      </c>
      <c r="O319" s="34">
        <f t="shared" si="18"/>
        <v>0.52</v>
      </c>
      <c r="P319" s="35">
        <f t="shared" si="19"/>
        <v>0.48</v>
      </c>
    </row>
    <row r="320" spans="4:16">
      <c r="D320" s="25" t="s">
        <v>1566</v>
      </c>
      <c r="E320" s="25" t="s">
        <v>1567</v>
      </c>
      <c r="F320" s="27">
        <v>20643221</v>
      </c>
      <c r="G320" s="27">
        <v>9495881.6600000001</v>
      </c>
      <c r="H320" s="27">
        <v>3798352.6639999999</v>
      </c>
      <c r="I320" s="44">
        <v>55123</v>
      </c>
      <c r="J320" s="25" t="s">
        <v>133</v>
      </c>
      <c r="K320" s="25" t="s">
        <v>134</v>
      </c>
      <c r="L320" s="25" t="s">
        <v>121</v>
      </c>
      <c r="M320" s="45">
        <f t="shared" ca="1" si="16"/>
        <v>250</v>
      </c>
      <c r="N320" s="34" t="str">
        <f t="shared" ca="1" si="17"/>
        <v>90+</v>
      </c>
      <c r="O320" s="34">
        <f t="shared" si="18"/>
        <v>0.39999999999999997</v>
      </c>
      <c r="P320" s="35">
        <f t="shared" si="19"/>
        <v>0.60000000000000009</v>
      </c>
    </row>
    <row r="321" spans="4:16">
      <c r="D321" s="25" t="s">
        <v>1568</v>
      </c>
      <c r="E321" s="25" t="s">
        <v>1569</v>
      </c>
      <c r="F321" s="27">
        <v>105727830</v>
      </c>
      <c r="G321" s="27">
        <v>94097768.700000003</v>
      </c>
      <c r="H321" s="27">
        <v>43284973.601999998</v>
      </c>
      <c r="I321" s="44">
        <v>55154</v>
      </c>
      <c r="J321" s="25" t="s">
        <v>52</v>
      </c>
      <c r="K321" s="25" t="s">
        <v>89</v>
      </c>
      <c r="L321" s="25" t="s">
        <v>121</v>
      </c>
      <c r="M321" s="45">
        <f t="shared" ca="1" si="16"/>
        <v>229</v>
      </c>
      <c r="N321" s="34" t="str">
        <f t="shared" ca="1" si="17"/>
        <v>90+</v>
      </c>
      <c r="O321" s="34">
        <f t="shared" si="18"/>
        <v>0.45999999999999996</v>
      </c>
      <c r="P321" s="35">
        <f t="shared" si="19"/>
        <v>0.54</v>
      </c>
    </row>
    <row r="322" spans="4:16">
      <c r="D322" s="25" t="s">
        <v>1570</v>
      </c>
      <c r="E322" s="25" t="s">
        <v>1571</v>
      </c>
      <c r="F322" s="27">
        <v>5280157</v>
      </c>
      <c r="G322" s="27">
        <v>1108832.97</v>
      </c>
      <c r="H322" s="27">
        <v>33264.989099999999</v>
      </c>
      <c r="I322" s="44">
        <v>55185</v>
      </c>
      <c r="J322" s="25" t="s">
        <v>99</v>
      </c>
      <c r="K322" s="25" t="s">
        <v>125</v>
      </c>
      <c r="L322" s="25" t="s">
        <v>114</v>
      </c>
      <c r="M322" s="45">
        <f t="shared" ca="1" si="16"/>
        <v>66</v>
      </c>
      <c r="N322" s="34" t="str">
        <f t="shared" ca="1" si="17"/>
        <v>61-90</v>
      </c>
      <c r="O322" s="34">
        <f t="shared" si="18"/>
        <v>0.03</v>
      </c>
      <c r="P322" s="35">
        <f t="shared" si="19"/>
        <v>0.97</v>
      </c>
    </row>
    <row r="323" spans="4:16">
      <c r="D323" s="25" t="s">
        <v>1572</v>
      </c>
      <c r="E323" s="25" t="s">
        <v>1573</v>
      </c>
      <c r="F323" s="27">
        <v>179935138</v>
      </c>
      <c r="G323" s="27">
        <v>82770163.480000004</v>
      </c>
      <c r="H323" s="27">
        <v>35591170.296400003</v>
      </c>
      <c r="I323" s="44">
        <v>55213</v>
      </c>
      <c r="J323" s="25" t="s">
        <v>99</v>
      </c>
      <c r="K323" s="25" t="s">
        <v>134</v>
      </c>
      <c r="L323" s="25" t="s">
        <v>95</v>
      </c>
      <c r="M323" s="45">
        <f t="shared" ca="1" si="16"/>
        <v>228</v>
      </c>
      <c r="N323" s="34" t="str">
        <f t="shared" ca="1" si="17"/>
        <v>90+</v>
      </c>
      <c r="O323" s="34">
        <f t="shared" si="18"/>
        <v>0.43</v>
      </c>
      <c r="P323" s="35">
        <f t="shared" si="19"/>
        <v>0.57000000000000006</v>
      </c>
    </row>
    <row r="324" spans="4:16">
      <c r="D324" s="25" t="s">
        <v>1574</v>
      </c>
      <c r="E324" s="25" t="s">
        <v>1575</v>
      </c>
      <c r="F324" s="27">
        <v>71067047</v>
      </c>
      <c r="G324" s="27">
        <v>16345420.810000001</v>
      </c>
      <c r="H324" s="27">
        <v>4413263.6187000005</v>
      </c>
      <c r="I324" s="44">
        <v>55244</v>
      </c>
      <c r="J324" s="25" t="s">
        <v>52</v>
      </c>
      <c r="K324" s="25" t="s">
        <v>134</v>
      </c>
      <c r="L324" s="25" t="s">
        <v>121</v>
      </c>
      <c r="M324" s="45">
        <f t="shared" ca="1" si="16"/>
        <v>73</v>
      </c>
      <c r="N324" s="34" t="str">
        <f t="shared" ca="1" si="17"/>
        <v>61-90</v>
      </c>
      <c r="O324" s="34">
        <f t="shared" si="18"/>
        <v>0.27</v>
      </c>
      <c r="P324" s="35">
        <f t="shared" si="19"/>
        <v>0.73</v>
      </c>
    </row>
    <row r="325" spans="4:16">
      <c r="D325" s="25" t="s">
        <v>1576</v>
      </c>
      <c r="E325" s="25" t="s">
        <v>1577</v>
      </c>
      <c r="F325" s="27">
        <v>18417767</v>
      </c>
      <c r="G325" s="27">
        <v>15470924.279999999</v>
      </c>
      <c r="H325" s="27">
        <v>3558312.5844000001</v>
      </c>
      <c r="I325" s="44">
        <v>55274</v>
      </c>
      <c r="J325" s="25" t="s">
        <v>52</v>
      </c>
      <c r="K325" s="25" t="s">
        <v>109</v>
      </c>
      <c r="L325" s="25" t="s">
        <v>121</v>
      </c>
      <c r="M325" s="45">
        <f t="shared" ca="1" si="16"/>
        <v>53</v>
      </c>
      <c r="N325" s="34" t="str">
        <f t="shared" ca="1" si="17"/>
        <v>31-60</v>
      </c>
      <c r="O325" s="34">
        <f t="shared" si="18"/>
        <v>0.23</v>
      </c>
      <c r="P325" s="35">
        <f t="shared" si="19"/>
        <v>0.77</v>
      </c>
    </row>
    <row r="326" spans="4:16">
      <c r="D326" s="25" t="s">
        <v>1578</v>
      </c>
      <c r="E326" s="25" t="s">
        <v>1579</v>
      </c>
      <c r="F326" s="27">
        <v>36954949</v>
      </c>
      <c r="G326" s="27">
        <v>21803419.91</v>
      </c>
      <c r="H326" s="27">
        <v>6759060.1721000001</v>
      </c>
      <c r="I326" s="44">
        <v>55305</v>
      </c>
      <c r="J326" s="25" t="s">
        <v>99</v>
      </c>
      <c r="K326" s="25" t="s">
        <v>109</v>
      </c>
      <c r="L326" s="25" t="s">
        <v>95</v>
      </c>
      <c r="M326" s="45">
        <f t="shared" ca="1" si="16"/>
        <v>297</v>
      </c>
      <c r="N326" s="34" t="str">
        <f t="shared" ca="1" si="17"/>
        <v>90+</v>
      </c>
      <c r="O326" s="34">
        <f t="shared" si="18"/>
        <v>0.31</v>
      </c>
      <c r="P326" s="35">
        <f t="shared" si="19"/>
        <v>0.69</v>
      </c>
    </row>
    <row r="327" spans="4:16">
      <c r="D327" s="25" t="s">
        <v>1580</v>
      </c>
      <c r="E327" s="25" t="s">
        <v>1581</v>
      </c>
      <c r="F327" s="27">
        <v>66149520</v>
      </c>
      <c r="G327" s="27">
        <v>27121303.199999999</v>
      </c>
      <c r="H327" s="27">
        <v>17628847.079999998</v>
      </c>
      <c r="I327" s="44">
        <v>55335</v>
      </c>
      <c r="J327" s="25" t="s">
        <v>52</v>
      </c>
      <c r="K327" s="25" t="s">
        <v>109</v>
      </c>
      <c r="L327" s="25" t="s">
        <v>110</v>
      </c>
      <c r="M327" s="45">
        <f t="shared" ca="1" si="16"/>
        <v>327</v>
      </c>
      <c r="N327" s="34" t="str">
        <f t="shared" ca="1" si="17"/>
        <v>90+</v>
      </c>
      <c r="O327" s="34">
        <f t="shared" si="18"/>
        <v>0.64999999999999991</v>
      </c>
      <c r="P327" s="35">
        <f t="shared" si="19"/>
        <v>0.35000000000000009</v>
      </c>
    </row>
    <row r="328" spans="4:16">
      <c r="D328" s="25" t="s">
        <v>1582</v>
      </c>
      <c r="E328" s="25" t="s">
        <v>1583</v>
      </c>
      <c r="F328" s="27">
        <v>57248582</v>
      </c>
      <c r="G328" s="27">
        <v>42936436.5</v>
      </c>
      <c r="H328" s="27">
        <v>25761861.899999999</v>
      </c>
      <c r="I328" s="44">
        <v>55366</v>
      </c>
      <c r="J328" s="25" t="s">
        <v>99</v>
      </c>
      <c r="K328" s="25" t="s">
        <v>109</v>
      </c>
      <c r="L328" s="25" t="s">
        <v>114</v>
      </c>
      <c r="M328" s="45">
        <f t="shared" ca="1" si="16"/>
        <v>338</v>
      </c>
      <c r="N328" s="34" t="str">
        <f t="shared" ca="1" si="17"/>
        <v>90+</v>
      </c>
      <c r="O328" s="34">
        <f t="shared" si="18"/>
        <v>0.6</v>
      </c>
      <c r="P328" s="35">
        <f t="shared" si="19"/>
        <v>0.4</v>
      </c>
    </row>
    <row r="329" spans="4:16">
      <c r="D329" s="25" t="s">
        <v>1584</v>
      </c>
      <c r="E329" s="25" t="s">
        <v>1585</v>
      </c>
      <c r="F329" s="27">
        <v>12370271</v>
      </c>
      <c r="G329" s="27">
        <v>8288081.5700000003</v>
      </c>
      <c r="H329" s="27">
        <v>3398113.4437000002</v>
      </c>
      <c r="I329" s="44">
        <v>55397</v>
      </c>
      <c r="J329" s="25" t="s">
        <v>99</v>
      </c>
      <c r="K329" s="25" t="s">
        <v>94</v>
      </c>
      <c r="L329" s="25" t="s">
        <v>121</v>
      </c>
      <c r="M329" s="45">
        <f t="shared" ref="M329:M392" ca="1" si="20">RANDBETWEEN(31,360)</f>
        <v>302</v>
      </c>
      <c r="N329" s="34" t="str">
        <f t="shared" ref="N329:N392" ca="1" si="21">IF(M329&lt;=0,"Current",
IF(M329&lt;=30,"1-30",
IF(M329&lt;=60,"31-60",
IF(M329&lt;=90,"61-90","90+"))))</f>
        <v>90+</v>
      </c>
      <c r="O329" s="34">
        <f t="shared" ref="O329:O392" si="22">H329/G329</f>
        <v>0.41000000000000003</v>
      </c>
      <c r="P329" s="35">
        <f t="shared" ref="P329:P392" si="23">1-O329</f>
        <v>0.59</v>
      </c>
    </row>
    <row r="330" spans="4:16">
      <c r="D330" s="25" t="s">
        <v>1586</v>
      </c>
      <c r="E330" s="25" t="s">
        <v>1587</v>
      </c>
      <c r="F330" s="27">
        <v>88191908</v>
      </c>
      <c r="G330" s="27">
        <v>53797063.880000003</v>
      </c>
      <c r="H330" s="27">
        <v>14525207.2476</v>
      </c>
      <c r="I330" s="44">
        <v>55427</v>
      </c>
      <c r="J330" s="25" t="s">
        <v>52</v>
      </c>
      <c r="K330" s="25" t="s">
        <v>125</v>
      </c>
      <c r="L330" s="25" t="s">
        <v>121</v>
      </c>
      <c r="M330" s="45">
        <f t="shared" ca="1" si="20"/>
        <v>77</v>
      </c>
      <c r="N330" s="34" t="str">
        <f t="shared" ca="1" si="21"/>
        <v>61-90</v>
      </c>
      <c r="O330" s="34">
        <f t="shared" si="22"/>
        <v>0.27</v>
      </c>
      <c r="P330" s="35">
        <f t="shared" si="23"/>
        <v>0.73</v>
      </c>
    </row>
    <row r="331" spans="4:16">
      <c r="D331" s="25" t="s">
        <v>1588</v>
      </c>
      <c r="E331" s="25" t="s">
        <v>1589</v>
      </c>
      <c r="F331" s="27">
        <v>139182961</v>
      </c>
      <c r="G331" s="27">
        <v>29228421.809999999</v>
      </c>
      <c r="H331" s="27">
        <v>1753705.3085999999</v>
      </c>
      <c r="I331" s="44">
        <v>55458</v>
      </c>
      <c r="J331" s="25" t="s">
        <v>133</v>
      </c>
      <c r="K331" s="25" t="s">
        <v>56</v>
      </c>
      <c r="L331" s="25" t="s">
        <v>90</v>
      </c>
      <c r="M331" s="45">
        <f t="shared" ca="1" si="20"/>
        <v>343</v>
      </c>
      <c r="N331" s="34" t="str">
        <f t="shared" ca="1" si="21"/>
        <v>90+</v>
      </c>
      <c r="O331" s="34">
        <f t="shared" si="22"/>
        <v>0.06</v>
      </c>
      <c r="P331" s="35">
        <f t="shared" si="23"/>
        <v>0.94</v>
      </c>
    </row>
    <row r="332" spans="4:16">
      <c r="D332" s="25" t="s">
        <v>1590</v>
      </c>
      <c r="E332" s="25" t="s">
        <v>1591</v>
      </c>
      <c r="F332" s="27">
        <v>105091109</v>
      </c>
      <c r="G332" s="27">
        <v>70411043.030000001</v>
      </c>
      <c r="H332" s="27">
        <v>41542515.387699999</v>
      </c>
      <c r="I332" s="44">
        <v>55488</v>
      </c>
      <c r="J332" s="25" t="s">
        <v>52</v>
      </c>
      <c r="K332" s="25" t="s">
        <v>94</v>
      </c>
      <c r="L332" s="25" t="s">
        <v>110</v>
      </c>
      <c r="M332" s="45">
        <f t="shared" ca="1" si="20"/>
        <v>322</v>
      </c>
      <c r="N332" s="34" t="str">
        <f t="shared" ca="1" si="21"/>
        <v>90+</v>
      </c>
      <c r="O332" s="34">
        <f t="shared" si="22"/>
        <v>0.59</v>
      </c>
      <c r="P332" s="35">
        <f t="shared" si="23"/>
        <v>0.41000000000000003</v>
      </c>
    </row>
    <row r="333" spans="4:16">
      <c r="D333" s="25" t="s">
        <v>1592</v>
      </c>
      <c r="E333" s="25" t="s">
        <v>1593</v>
      </c>
      <c r="F333" s="27">
        <v>101730145</v>
      </c>
      <c r="G333" s="27">
        <v>22380631.899999999</v>
      </c>
      <c r="H333" s="27">
        <v>2461869.5089999996</v>
      </c>
      <c r="I333" s="44">
        <v>55519</v>
      </c>
      <c r="J333" s="25" t="s">
        <v>52</v>
      </c>
      <c r="K333" s="25" t="s">
        <v>134</v>
      </c>
      <c r="L333" s="25" t="s">
        <v>95</v>
      </c>
      <c r="M333" s="45">
        <f t="shared" ca="1" si="20"/>
        <v>200</v>
      </c>
      <c r="N333" s="34" t="str">
        <f t="shared" ca="1" si="21"/>
        <v>90+</v>
      </c>
      <c r="O333" s="34">
        <f t="shared" si="22"/>
        <v>0.10999999999999999</v>
      </c>
      <c r="P333" s="35">
        <f t="shared" si="23"/>
        <v>0.89</v>
      </c>
    </row>
    <row r="334" spans="4:16">
      <c r="D334" s="25" t="s">
        <v>1594</v>
      </c>
      <c r="E334" s="25" t="s">
        <v>1595</v>
      </c>
      <c r="F334" s="27">
        <v>134559332</v>
      </c>
      <c r="G334" s="27">
        <v>26911866.399999999</v>
      </c>
      <c r="H334" s="27">
        <v>9150034.5759999994</v>
      </c>
      <c r="I334" s="44">
        <v>55550</v>
      </c>
      <c r="J334" s="25" t="s">
        <v>52</v>
      </c>
      <c r="K334" s="25" t="s">
        <v>134</v>
      </c>
      <c r="L334" s="25" t="s">
        <v>95</v>
      </c>
      <c r="M334" s="45">
        <f t="shared" ca="1" si="20"/>
        <v>47</v>
      </c>
      <c r="N334" s="34" t="str">
        <f t="shared" ca="1" si="21"/>
        <v>31-60</v>
      </c>
      <c r="O334" s="34">
        <f t="shared" si="22"/>
        <v>0.34</v>
      </c>
      <c r="P334" s="35">
        <f t="shared" si="23"/>
        <v>0.65999999999999992</v>
      </c>
    </row>
    <row r="335" spans="4:16">
      <c r="D335" s="25" t="s">
        <v>1596</v>
      </c>
      <c r="E335" s="25" t="s">
        <v>1597</v>
      </c>
      <c r="F335" s="27">
        <v>65252806</v>
      </c>
      <c r="G335" s="27">
        <v>21533425.98</v>
      </c>
      <c r="H335" s="27">
        <v>2799345.3774000001</v>
      </c>
      <c r="I335" s="44">
        <v>55579</v>
      </c>
      <c r="J335" s="25" t="s">
        <v>52</v>
      </c>
      <c r="K335" s="25" t="s">
        <v>94</v>
      </c>
      <c r="L335" s="25" t="s">
        <v>90</v>
      </c>
      <c r="M335" s="45">
        <f t="shared" ca="1" si="20"/>
        <v>220</v>
      </c>
      <c r="N335" s="34" t="str">
        <f t="shared" ca="1" si="21"/>
        <v>90+</v>
      </c>
      <c r="O335" s="34">
        <f t="shared" si="22"/>
        <v>0.13</v>
      </c>
      <c r="P335" s="35">
        <f t="shared" si="23"/>
        <v>0.87</v>
      </c>
    </row>
    <row r="336" spans="4:16">
      <c r="D336" s="25" t="s">
        <v>1598</v>
      </c>
      <c r="E336" s="25" t="s">
        <v>1599</v>
      </c>
      <c r="F336" s="27">
        <v>47486146</v>
      </c>
      <c r="G336" s="27">
        <v>13296120.880000001</v>
      </c>
      <c r="H336" s="27">
        <v>4254758.6816000007</v>
      </c>
      <c r="I336" s="44">
        <v>55610</v>
      </c>
      <c r="J336" s="25" t="s">
        <v>52</v>
      </c>
      <c r="K336" s="25" t="s">
        <v>134</v>
      </c>
      <c r="L336" s="25" t="s">
        <v>110</v>
      </c>
      <c r="M336" s="45">
        <f t="shared" ca="1" si="20"/>
        <v>57</v>
      </c>
      <c r="N336" s="34" t="str">
        <f t="shared" ca="1" si="21"/>
        <v>31-60</v>
      </c>
      <c r="O336" s="34">
        <f t="shared" si="22"/>
        <v>0.32</v>
      </c>
      <c r="P336" s="35">
        <f t="shared" si="23"/>
        <v>0.67999999999999994</v>
      </c>
    </row>
    <row r="337" spans="4:16">
      <c r="D337" s="25" t="s">
        <v>1600</v>
      </c>
      <c r="E337" s="25" t="s">
        <v>1601</v>
      </c>
      <c r="F337" s="27">
        <v>96092300</v>
      </c>
      <c r="G337" s="27">
        <v>18257537</v>
      </c>
      <c r="H337" s="27">
        <v>2921205.92</v>
      </c>
      <c r="I337" s="44">
        <v>55640</v>
      </c>
      <c r="J337" s="25" t="s">
        <v>52</v>
      </c>
      <c r="K337" s="25" t="s">
        <v>94</v>
      </c>
      <c r="L337" s="25" t="s">
        <v>138</v>
      </c>
      <c r="M337" s="45">
        <f t="shared" ca="1" si="20"/>
        <v>58</v>
      </c>
      <c r="N337" s="34" t="str">
        <f t="shared" ca="1" si="21"/>
        <v>31-60</v>
      </c>
      <c r="O337" s="34">
        <f t="shared" si="22"/>
        <v>0.16</v>
      </c>
      <c r="P337" s="35">
        <f t="shared" si="23"/>
        <v>0.84</v>
      </c>
    </row>
    <row r="338" spans="4:16">
      <c r="D338" s="25" t="s">
        <v>1602</v>
      </c>
      <c r="E338" s="25" t="s">
        <v>1603</v>
      </c>
      <c r="F338" s="27">
        <v>45271226</v>
      </c>
      <c r="G338" s="27">
        <v>27615447.859999999</v>
      </c>
      <c r="H338" s="27">
        <v>8284634.3579999991</v>
      </c>
      <c r="I338" s="44">
        <v>55671</v>
      </c>
      <c r="J338" s="25" t="s">
        <v>52</v>
      </c>
      <c r="K338" s="25" t="s">
        <v>109</v>
      </c>
      <c r="L338" s="25" t="s">
        <v>90</v>
      </c>
      <c r="M338" s="45">
        <f t="shared" ca="1" si="20"/>
        <v>36</v>
      </c>
      <c r="N338" s="34" t="str">
        <f t="shared" ca="1" si="21"/>
        <v>31-60</v>
      </c>
      <c r="O338" s="34">
        <f t="shared" si="22"/>
        <v>0.3</v>
      </c>
      <c r="P338" s="35">
        <f t="shared" si="23"/>
        <v>0.7</v>
      </c>
    </row>
    <row r="339" spans="4:16">
      <c r="D339" s="25" t="s">
        <v>1604</v>
      </c>
      <c r="E339" s="25" t="s">
        <v>1605</v>
      </c>
      <c r="F339" s="27">
        <v>173829303</v>
      </c>
      <c r="G339" s="27">
        <v>170352716.94</v>
      </c>
      <c r="H339" s="27">
        <v>39181124.896200001</v>
      </c>
      <c r="I339" s="44">
        <v>55701</v>
      </c>
      <c r="J339" s="25" t="s">
        <v>52</v>
      </c>
      <c r="K339" s="25" t="s">
        <v>134</v>
      </c>
      <c r="L339" s="25" t="s">
        <v>90</v>
      </c>
      <c r="M339" s="45">
        <f t="shared" ca="1" si="20"/>
        <v>188</v>
      </c>
      <c r="N339" s="34" t="str">
        <f t="shared" ca="1" si="21"/>
        <v>90+</v>
      </c>
      <c r="O339" s="34">
        <f t="shared" si="22"/>
        <v>0.23</v>
      </c>
      <c r="P339" s="35">
        <f t="shared" si="23"/>
        <v>0.77</v>
      </c>
    </row>
    <row r="340" spans="4:16">
      <c r="D340" s="25" t="s">
        <v>1606</v>
      </c>
      <c r="E340" s="25" t="s">
        <v>1607</v>
      </c>
      <c r="F340" s="27">
        <v>192904506</v>
      </c>
      <c r="G340" s="27">
        <v>187117370.81999999</v>
      </c>
      <c r="H340" s="27">
        <v>101043380.24279998</v>
      </c>
      <c r="I340" s="44">
        <v>55732</v>
      </c>
      <c r="J340" s="25" t="s">
        <v>52</v>
      </c>
      <c r="K340" s="25" t="s">
        <v>109</v>
      </c>
      <c r="L340" s="25" t="s">
        <v>95</v>
      </c>
      <c r="M340" s="45">
        <f t="shared" ca="1" si="20"/>
        <v>323</v>
      </c>
      <c r="N340" s="34" t="str">
        <f t="shared" ca="1" si="21"/>
        <v>90+</v>
      </c>
      <c r="O340" s="34">
        <f t="shared" si="22"/>
        <v>0.53999999999999992</v>
      </c>
      <c r="P340" s="35">
        <f t="shared" si="23"/>
        <v>0.46000000000000008</v>
      </c>
    </row>
    <row r="341" spans="4:16">
      <c r="D341" s="25" t="s">
        <v>1608</v>
      </c>
      <c r="E341" s="25" t="s">
        <v>1609</v>
      </c>
      <c r="F341" s="27">
        <v>25719760</v>
      </c>
      <c r="G341" s="27">
        <v>24948167.199999999</v>
      </c>
      <c r="H341" s="27">
        <v>1247408.3600000001</v>
      </c>
      <c r="I341" s="44">
        <v>55763</v>
      </c>
      <c r="J341" s="25" t="s">
        <v>99</v>
      </c>
      <c r="K341" s="25" t="s">
        <v>89</v>
      </c>
      <c r="L341" s="25" t="s">
        <v>95</v>
      </c>
      <c r="M341" s="45">
        <f t="shared" ca="1" si="20"/>
        <v>282</v>
      </c>
      <c r="N341" s="34" t="str">
        <f t="shared" ca="1" si="21"/>
        <v>90+</v>
      </c>
      <c r="O341" s="34">
        <f t="shared" si="22"/>
        <v>0.05</v>
      </c>
      <c r="P341" s="35">
        <f t="shared" si="23"/>
        <v>0.95</v>
      </c>
    </row>
    <row r="342" spans="4:16">
      <c r="D342" s="25" t="s">
        <v>1610</v>
      </c>
      <c r="E342" s="25" t="s">
        <v>1611</v>
      </c>
      <c r="F342" s="27">
        <v>150277316</v>
      </c>
      <c r="G342" s="27">
        <v>94674709.079999998</v>
      </c>
      <c r="H342" s="27">
        <v>9467470.9079999998</v>
      </c>
      <c r="I342" s="44">
        <v>55793</v>
      </c>
      <c r="J342" s="25" t="s">
        <v>52</v>
      </c>
      <c r="K342" s="25" t="s">
        <v>134</v>
      </c>
      <c r="L342" s="25" t="s">
        <v>114</v>
      </c>
      <c r="M342" s="45">
        <f t="shared" ca="1" si="20"/>
        <v>346</v>
      </c>
      <c r="N342" s="34" t="str">
        <f t="shared" ca="1" si="21"/>
        <v>90+</v>
      </c>
      <c r="O342" s="34">
        <f t="shared" si="22"/>
        <v>0.1</v>
      </c>
      <c r="P342" s="35">
        <f t="shared" si="23"/>
        <v>0.9</v>
      </c>
    </row>
    <row r="343" spans="4:16">
      <c r="D343" s="25" t="s">
        <v>1612</v>
      </c>
      <c r="E343" s="25" t="s">
        <v>1613</v>
      </c>
      <c r="F343" s="27">
        <v>26390609</v>
      </c>
      <c r="G343" s="27">
        <v>15834365.4</v>
      </c>
      <c r="H343" s="27">
        <v>9817306.5480000004</v>
      </c>
      <c r="I343" s="44">
        <v>55824</v>
      </c>
      <c r="J343" s="25" t="s">
        <v>52</v>
      </c>
      <c r="K343" s="25" t="s">
        <v>125</v>
      </c>
      <c r="L343" s="25" t="s">
        <v>90</v>
      </c>
      <c r="M343" s="45">
        <f t="shared" ca="1" si="20"/>
        <v>137</v>
      </c>
      <c r="N343" s="34" t="str">
        <f t="shared" ca="1" si="21"/>
        <v>90+</v>
      </c>
      <c r="O343" s="34">
        <f t="shared" si="22"/>
        <v>0.62</v>
      </c>
      <c r="P343" s="35">
        <f t="shared" si="23"/>
        <v>0.38</v>
      </c>
    </row>
    <row r="344" spans="4:16">
      <c r="D344" s="25" t="s">
        <v>1614</v>
      </c>
      <c r="E344" s="25" t="s">
        <v>1615</v>
      </c>
      <c r="F344" s="27">
        <v>135424965</v>
      </c>
      <c r="G344" s="27">
        <v>67712482.5</v>
      </c>
      <c r="H344" s="27">
        <v>42658863.975000001</v>
      </c>
      <c r="I344" s="44">
        <v>55854</v>
      </c>
      <c r="J344" s="25" t="s">
        <v>52</v>
      </c>
      <c r="K344" s="25" t="s">
        <v>89</v>
      </c>
      <c r="L344" s="25" t="s">
        <v>114</v>
      </c>
      <c r="M344" s="45">
        <f t="shared" ca="1" si="20"/>
        <v>356</v>
      </c>
      <c r="N344" s="34" t="str">
        <f t="shared" ca="1" si="21"/>
        <v>90+</v>
      </c>
      <c r="O344" s="34">
        <f t="shared" si="22"/>
        <v>0.63</v>
      </c>
      <c r="P344" s="35">
        <f t="shared" si="23"/>
        <v>0.37</v>
      </c>
    </row>
    <row r="345" spans="4:16">
      <c r="D345" s="25" t="s">
        <v>1616</v>
      </c>
      <c r="E345" s="25" t="s">
        <v>1617</v>
      </c>
      <c r="F345" s="27">
        <v>137371288</v>
      </c>
      <c r="G345" s="27">
        <v>74180495.519999996</v>
      </c>
      <c r="H345" s="27">
        <v>30414003.163199998</v>
      </c>
      <c r="I345" s="44">
        <v>55885</v>
      </c>
      <c r="J345" s="25" t="s">
        <v>52</v>
      </c>
      <c r="K345" s="25" t="s">
        <v>109</v>
      </c>
      <c r="L345" s="25" t="s">
        <v>138</v>
      </c>
      <c r="M345" s="45">
        <f t="shared" ca="1" si="20"/>
        <v>65</v>
      </c>
      <c r="N345" s="34" t="str">
        <f t="shared" ca="1" si="21"/>
        <v>61-90</v>
      </c>
      <c r="O345" s="34">
        <f t="shared" si="22"/>
        <v>0.41</v>
      </c>
      <c r="P345" s="35">
        <f t="shared" si="23"/>
        <v>0.59000000000000008</v>
      </c>
    </row>
    <row r="346" spans="4:16">
      <c r="D346" s="25" t="s">
        <v>1618</v>
      </c>
      <c r="E346" s="25" t="s">
        <v>1619</v>
      </c>
      <c r="F346" s="27">
        <v>166442513</v>
      </c>
      <c r="G346" s="27">
        <v>146469411.44</v>
      </c>
      <c r="H346" s="27">
        <v>84952258.635199994</v>
      </c>
      <c r="I346" s="44">
        <v>55916</v>
      </c>
      <c r="J346" s="25" t="s">
        <v>99</v>
      </c>
      <c r="K346" s="25" t="s">
        <v>89</v>
      </c>
      <c r="L346" s="25" t="s">
        <v>121</v>
      </c>
      <c r="M346" s="45">
        <f t="shared" ca="1" si="20"/>
        <v>49</v>
      </c>
      <c r="N346" s="34" t="str">
        <f t="shared" ca="1" si="21"/>
        <v>31-60</v>
      </c>
      <c r="O346" s="34">
        <f t="shared" si="22"/>
        <v>0.57999999999999996</v>
      </c>
      <c r="P346" s="35">
        <f t="shared" si="23"/>
        <v>0.42000000000000004</v>
      </c>
    </row>
    <row r="347" spans="4:16">
      <c r="D347" s="25" t="s">
        <v>1620</v>
      </c>
      <c r="E347" s="25" t="s">
        <v>1621</v>
      </c>
      <c r="F347" s="27">
        <v>154919803</v>
      </c>
      <c r="G347" s="27">
        <v>74361505.439999998</v>
      </c>
      <c r="H347" s="27">
        <v>46104133.3728</v>
      </c>
      <c r="I347" s="44">
        <v>55944</v>
      </c>
      <c r="J347" s="25" t="s">
        <v>52</v>
      </c>
      <c r="K347" s="25" t="s">
        <v>94</v>
      </c>
      <c r="L347" s="25" t="s">
        <v>110</v>
      </c>
      <c r="M347" s="45">
        <f t="shared" ca="1" si="20"/>
        <v>166</v>
      </c>
      <c r="N347" s="34" t="str">
        <f t="shared" ca="1" si="21"/>
        <v>90+</v>
      </c>
      <c r="O347" s="34">
        <f t="shared" si="22"/>
        <v>0.62</v>
      </c>
      <c r="P347" s="35">
        <f t="shared" si="23"/>
        <v>0.38</v>
      </c>
    </row>
    <row r="348" spans="4:16">
      <c r="D348" s="25" t="s">
        <v>1622</v>
      </c>
      <c r="E348" s="25" t="s">
        <v>1623</v>
      </c>
      <c r="F348" s="27">
        <v>140141835</v>
      </c>
      <c r="G348" s="27">
        <v>138740416.65000001</v>
      </c>
      <c r="H348" s="27">
        <v>41622124.994999997</v>
      </c>
      <c r="I348" s="44">
        <v>55975</v>
      </c>
      <c r="J348" s="25" t="s">
        <v>133</v>
      </c>
      <c r="K348" s="25" t="s">
        <v>125</v>
      </c>
      <c r="L348" s="25" t="s">
        <v>90</v>
      </c>
      <c r="M348" s="45">
        <f t="shared" ca="1" si="20"/>
        <v>109</v>
      </c>
      <c r="N348" s="34" t="str">
        <f t="shared" ca="1" si="21"/>
        <v>90+</v>
      </c>
      <c r="O348" s="34">
        <f t="shared" si="22"/>
        <v>0.3</v>
      </c>
      <c r="P348" s="35">
        <f t="shared" si="23"/>
        <v>0.7</v>
      </c>
    </row>
    <row r="349" spans="4:16">
      <c r="D349" s="25" t="s">
        <v>1624</v>
      </c>
      <c r="E349" s="25" t="s">
        <v>1625</v>
      </c>
      <c r="F349" s="27">
        <v>117931975</v>
      </c>
      <c r="G349" s="27">
        <v>22407075.25</v>
      </c>
      <c r="H349" s="27">
        <v>12547962.140000001</v>
      </c>
      <c r="I349" s="44">
        <v>56005</v>
      </c>
      <c r="J349" s="25" t="s">
        <v>52</v>
      </c>
      <c r="K349" s="25" t="s">
        <v>125</v>
      </c>
      <c r="L349" s="25" t="s">
        <v>90</v>
      </c>
      <c r="M349" s="45">
        <f t="shared" ca="1" si="20"/>
        <v>40</v>
      </c>
      <c r="N349" s="34" t="str">
        <f t="shared" ca="1" si="21"/>
        <v>31-60</v>
      </c>
      <c r="O349" s="34">
        <f t="shared" si="22"/>
        <v>0.56000000000000005</v>
      </c>
      <c r="P349" s="35">
        <f t="shared" si="23"/>
        <v>0.43999999999999995</v>
      </c>
    </row>
    <row r="350" spans="4:16">
      <c r="D350" s="25" t="s">
        <v>1626</v>
      </c>
      <c r="E350" s="25" t="s">
        <v>1627</v>
      </c>
      <c r="F350" s="27">
        <v>24362030</v>
      </c>
      <c r="G350" s="27">
        <v>15104458.6</v>
      </c>
      <c r="H350" s="27">
        <v>6343872.6119999997</v>
      </c>
      <c r="I350" s="44">
        <v>56036</v>
      </c>
      <c r="J350" s="25" t="s">
        <v>52</v>
      </c>
      <c r="K350" s="25" t="s">
        <v>56</v>
      </c>
      <c r="L350" s="25" t="s">
        <v>95</v>
      </c>
      <c r="M350" s="45">
        <f t="shared" ca="1" si="20"/>
        <v>107</v>
      </c>
      <c r="N350" s="34" t="str">
        <f t="shared" ca="1" si="21"/>
        <v>90+</v>
      </c>
      <c r="O350" s="34">
        <f t="shared" si="22"/>
        <v>0.42</v>
      </c>
      <c r="P350" s="35">
        <f t="shared" si="23"/>
        <v>0.58000000000000007</v>
      </c>
    </row>
    <row r="351" spans="4:16">
      <c r="D351" s="25" t="s">
        <v>1628</v>
      </c>
      <c r="E351" s="25" t="s">
        <v>1629</v>
      </c>
      <c r="F351" s="27">
        <v>88431903</v>
      </c>
      <c r="G351" s="27">
        <v>76935755.609999999</v>
      </c>
      <c r="H351" s="27">
        <v>37698520.248899996</v>
      </c>
      <c r="I351" s="44">
        <v>56066</v>
      </c>
      <c r="J351" s="25" t="s">
        <v>133</v>
      </c>
      <c r="K351" s="25" t="s">
        <v>109</v>
      </c>
      <c r="L351" s="25" t="s">
        <v>110</v>
      </c>
      <c r="M351" s="45">
        <f t="shared" ca="1" si="20"/>
        <v>176</v>
      </c>
      <c r="N351" s="34" t="str">
        <f t="shared" ca="1" si="21"/>
        <v>90+</v>
      </c>
      <c r="O351" s="34">
        <f t="shared" si="22"/>
        <v>0.48999999999999994</v>
      </c>
      <c r="P351" s="35">
        <f t="shared" si="23"/>
        <v>0.51</v>
      </c>
    </row>
    <row r="352" spans="4:16">
      <c r="D352" s="25" t="s">
        <v>1630</v>
      </c>
      <c r="E352" s="25" t="s">
        <v>1631</v>
      </c>
      <c r="F352" s="27">
        <v>136886251</v>
      </c>
      <c r="G352" s="27">
        <v>43803600.32</v>
      </c>
      <c r="H352" s="27">
        <v>20149656.1472</v>
      </c>
      <c r="I352" s="44">
        <v>56097</v>
      </c>
      <c r="J352" s="25" t="s">
        <v>52</v>
      </c>
      <c r="K352" s="25" t="s">
        <v>109</v>
      </c>
      <c r="L352" s="25" t="s">
        <v>95</v>
      </c>
      <c r="M352" s="45">
        <f t="shared" ca="1" si="20"/>
        <v>321</v>
      </c>
      <c r="N352" s="34" t="str">
        <f t="shared" ca="1" si="21"/>
        <v>90+</v>
      </c>
      <c r="O352" s="34">
        <f t="shared" si="22"/>
        <v>0.45999999999999996</v>
      </c>
      <c r="P352" s="35">
        <f t="shared" si="23"/>
        <v>0.54</v>
      </c>
    </row>
    <row r="353" spans="4:16">
      <c r="D353" s="25" t="s">
        <v>1632</v>
      </c>
      <c r="E353" s="25" t="s">
        <v>1633</v>
      </c>
      <c r="F353" s="27">
        <v>80294346</v>
      </c>
      <c r="G353" s="27">
        <v>43358946.840000004</v>
      </c>
      <c r="H353" s="27">
        <v>25581778.635600004</v>
      </c>
      <c r="I353" s="44">
        <v>56128</v>
      </c>
      <c r="J353" s="25" t="s">
        <v>99</v>
      </c>
      <c r="K353" s="25" t="s">
        <v>56</v>
      </c>
      <c r="L353" s="25" t="s">
        <v>121</v>
      </c>
      <c r="M353" s="45">
        <f t="shared" ca="1" si="20"/>
        <v>72</v>
      </c>
      <c r="N353" s="34" t="str">
        <f t="shared" ca="1" si="21"/>
        <v>61-90</v>
      </c>
      <c r="O353" s="34">
        <f t="shared" si="22"/>
        <v>0.59000000000000008</v>
      </c>
      <c r="P353" s="35">
        <f t="shared" si="23"/>
        <v>0.40999999999999992</v>
      </c>
    </row>
    <row r="354" spans="4:16">
      <c r="D354" s="25" t="s">
        <v>1634</v>
      </c>
      <c r="E354" s="25" t="s">
        <v>1635</v>
      </c>
      <c r="F354" s="27">
        <v>39289534</v>
      </c>
      <c r="G354" s="27">
        <v>36146371.280000001</v>
      </c>
      <c r="H354" s="27">
        <v>17711721.927200001</v>
      </c>
      <c r="I354" s="44">
        <v>56158</v>
      </c>
      <c r="J354" s="25" t="s">
        <v>52</v>
      </c>
      <c r="K354" s="25" t="s">
        <v>89</v>
      </c>
      <c r="L354" s="25" t="s">
        <v>138</v>
      </c>
      <c r="M354" s="45">
        <f t="shared" ca="1" si="20"/>
        <v>150</v>
      </c>
      <c r="N354" s="34" t="str">
        <f t="shared" ca="1" si="21"/>
        <v>90+</v>
      </c>
      <c r="O354" s="34">
        <f t="shared" si="22"/>
        <v>0.49</v>
      </c>
      <c r="P354" s="35">
        <f t="shared" si="23"/>
        <v>0.51</v>
      </c>
    </row>
    <row r="355" spans="4:16">
      <c r="D355" s="25" t="s">
        <v>1636</v>
      </c>
      <c r="E355" s="25" t="s">
        <v>1637</v>
      </c>
      <c r="F355" s="27">
        <v>106914003</v>
      </c>
      <c r="G355" s="27">
        <v>101568302.84999999</v>
      </c>
      <c r="H355" s="27">
        <v>2031366.0569999998</v>
      </c>
      <c r="I355" s="44">
        <v>56189</v>
      </c>
      <c r="J355" s="25" t="s">
        <v>99</v>
      </c>
      <c r="K355" s="25" t="s">
        <v>56</v>
      </c>
      <c r="L355" s="25" t="s">
        <v>95</v>
      </c>
      <c r="M355" s="45">
        <f t="shared" ca="1" si="20"/>
        <v>84</v>
      </c>
      <c r="N355" s="34" t="str">
        <f t="shared" ca="1" si="21"/>
        <v>61-90</v>
      </c>
      <c r="O355" s="34">
        <f t="shared" si="22"/>
        <v>0.02</v>
      </c>
      <c r="P355" s="35">
        <f t="shared" si="23"/>
        <v>0.98</v>
      </c>
    </row>
    <row r="356" spans="4:16">
      <c r="D356" s="25" t="s">
        <v>1638</v>
      </c>
      <c r="E356" s="25" t="s">
        <v>1639</v>
      </c>
      <c r="F356" s="27">
        <v>54395063</v>
      </c>
      <c r="G356" s="27">
        <v>40252346.619999997</v>
      </c>
      <c r="H356" s="27">
        <v>25358978.3706</v>
      </c>
      <c r="I356" s="44">
        <v>56219</v>
      </c>
      <c r="J356" s="25" t="s">
        <v>99</v>
      </c>
      <c r="K356" s="25" t="s">
        <v>109</v>
      </c>
      <c r="L356" s="25" t="s">
        <v>110</v>
      </c>
      <c r="M356" s="45">
        <f t="shared" ca="1" si="20"/>
        <v>227</v>
      </c>
      <c r="N356" s="34" t="str">
        <f t="shared" ca="1" si="21"/>
        <v>90+</v>
      </c>
      <c r="O356" s="34">
        <f t="shared" si="22"/>
        <v>0.63</v>
      </c>
      <c r="P356" s="35">
        <f t="shared" si="23"/>
        <v>0.37</v>
      </c>
    </row>
    <row r="357" spans="4:16">
      <c r="D357" s="25" t="s">
        <v>1640</v>
      </c>
      <c r="E357" s="25" t="s">
        <v>1641</v>
      </c>
      <c r="F357" s="27">
        <v>163236132</v>
      </c>
      <c r="G357" s="27">
        <v>52235562.240000002</v>
      </c>
      <c r="H357" s="27">
        <v>11491823.6928</v>
      </c>
      <c r="I357" s="44">
        <v>56250</v>
      </c>
      <c r="J357" s="25" t="s">
        <v>52</v>
      </c>
      <c r="K357" s="25" t="s">
        <v>89</v>
      </c>
      <c r="L357" s="25" t="s">
        <v>138</v>
      </c>
      <c r="M357" s="45">
        <f t="shared" ca="1" si="20"/>
        <v>132</v>
      </c>
      <c r="N357" s="34" t="str">
        <f t="shared" ca="1" si="21"/>
        <v>90+</v>
      </c>
      <c r="O357" s="34">
        <f t="shared" si="22"/>
        <v>0.22</v>
      </c>
      <c r="P357" s="35">
        <f t="shared" si="23"/>
        <v>0.78</v>
      </c>
    </row>
    <row r="358" spans="4:16">
      <c r="D358" s="25" t="s">
        <v>1642</v>
      </c>
      <c r="E358" s="25" t="s">
        <v>1643</v>
      </c>
      <c r="F358" s="27">
        <v>25600593</v>
      </c>
      <c r="G358" s="27">
        <v>22784527.77</v>
      </c>
      <c r="H358" s="27">
        <v>6835358.3310000002</v>
      </c>
      <c r="I358" s="44">
        <v>56281</v>
      </c>
      <c r="J358" s="25" t="s">
        <v>52</v>
      </c>
      <c r="K358" s="25" t="s">
        <v>89</v>
      </c>
      <c r="L358" s="25" t="s">
        <v>90</v>
      </c>
      <c r="M358" s="45">
        <f t="shared" ca="1" si="20"/>
        <v>264</v>
      </c>
      <c r="N358" s="34" t="str">
        <f t="shared" ca="1" si="21"/>
        <v>90+</v>
      </c>
      <c r="O358" s="34">
        <f t="shared" si="22"/>
        <v>0.3</v>
      </c>
      <c r="P358" s="35">
        <f t="shared" si="23"/>
        <v>0.7</v>
      </c>
    </row>
    <row r="359" spans="4:16">
      <c r="D359" s="25" t="s">
        <v>1644</v>
      </c>
      <c r="E359" s="25" t="s">
        <v>1645</v>
      </c>
      <c r="F359" s="27">
        <v>37786026</v>
      </c>
      <c r="G359" s="27">
        <v>11713668.060000001</v>
      </c>
      <c r="H359" s="27">
        <v>7496747.5584000004</v>
      </c>
      <c r="I359" s="44">
        <v>56309</v>
      </c>
      <c r="J359" s="25" t="s">
        <v>52</v>
      </c>
      <c r="K359" s="25" t="s">
        <v>125</v>
      </c>
      <c r="L359" s="25" t="s">
        <v>114</v>
      </c>
      <c r="M359" s="45">
        <f t="shared" ca="1" si="20"/>
        <v>275</v>
      </c>
      <c r="N359" s="34" t="str">
        <f t="shared" ca="1" si="21"/>
        <v>90+</v>
      </c>
      <c r="O359" s="34">
        <f t="shared" si="22"/>
        <v>0.64</v>
      </c>
      <c r="P359" s="35">
        <f t="shared" si="23"/>
        <v>0.36</v>
      </c>
    </row>
    <row r="360" spans="4:16">
      <c r="D360" s="25" t="s">
        <v>1646</v>
      </c>
      <c r="E360" s="25" t="s">
        <v>1647</v>
      </c>
      <c r="F360" s="27">
        <v>80638173</v>
      </c>
      <c r="G360" s="27">
        <v>24997833.629999999</v>
      </c>
      <c r="H360" s="27">
        <v>10499090.124599999</v>
      </c>
      <c r="I360" s="44">
        <v>56340</v>
      </c>
      <c r="J360" s="25" t="s">
        <v>99</v>
      </c>
      <c r="K360" s="25" t="s">
        <v>125</v>
      </c>
      <c r="L360" s="25" t="s">
        <v>95</v>
      </c>
      <c r="M360" s="45">
        <f t="shared" ca="1" si="20"/>
        <v>227</v>
      </c>
      <c r="N360" s="34" t="str">
        <f t="shared" ca="1" si="21"/>
        <v>90+</v>
      </c>
      <c r="O360" s="34">
        <f t="shared" si="22"/>
        <v>0.42</v>
      </c>
      <c r="P360" s="35">
        <f t="shared" si="23"/>
        <v>0.58000000000000007</v>
      </c>
    </row>
    <row r="361" spans="4:16">
      <c r="D361" s="25" t="s">
        <v>1648</v>
      </c>
      <c r="E361" s="25" t="s">
        <v>1649</v>
      </c>
      <c r="F361" s="27">
        <v>139065007</v>
      </c>
      <c r="G361" s="27">
        <v>27813001.399999999</v>
      </c>
      <c r="H361" s="27">
        <v>4728210.2379999999</v>
      </c>
      <c r="I361" s="44">
        <v>56370</v>
      </c>
      <c r="J361" s="25" t="s">
        <v>99</v>
      </c>
      <c r="K361" s="25" t="s">
        <v>109</v>
      </c>
      <c r="L361" s="25" t="s">
        <v>138</v>
      </c>
      <c r="M361" s="45">
        <f t="shared" ca="1" si="20"/>
        <v>58</v>
      </c>
      <c r="N361" s="34" t="str">
        <f t="shared" ca="1" si="21"/>
        <v>31-60</v>
      </c>
      <c r="O361" s="34">
        <f t="shared" si="22"/>
        <v>0.17</v>
      </c>
      <c r="P361" s="35">
        <f t="shared" si="23"/>
        <v>0.83</v>
      </c>
    </row>
    <row r="362" spans="4:16">
      <c r="D362" s="25" t="s">
        <v>1650</v>
      </c>
      <c r="E362" s="25" t="s">
        <v>1651</v>
      </c>
      <c r="F362" s="27">
        <v>21343742</v>
      </c>
      <c r="G362" s="27">
        <v>8537496.8000000007</v>
      </c>
      <c r="H362" s="27">
        <v>2731998.9760000003</v>
      </c>
      <c r="I362" s="44">
        <v>56401</v>
      </c>
      <c r="J362" s="25" t="s">
        <v>52</v>
      </c>
      <c r="K362" s="25" t="s">
        <v>94</v>
      </c>
      <c r="L362" s="25" t="s">
        <v>121</v>
      </c>
      <c r="M362" s="45">
        <f t="shared" ca="1" si="20"/>
        <v>351</v>
      </c>
      <c r="N362" s="34" t="str">
        <f t="shared" ca="1" si="21"/>
        <v>90+</v>
      </c>
      <c r="O362" s="34">
        <f t="shared" si="22"/>
        <v>0.32</v>
      </c>
      <c r="P362" s="35">
        <f t="shared" si="23"/>
        <v>0.67999999999999994</v>
      </c>
    </row>
    <row r="363" spans="4:16">
      <c r="D363" s="25" t="s">
        <v>1652</v>
      </c>
      <c r="E363" s="25" t="s">
        <v>1653</v>
      </c>
      <c r="F363" s="27">
        <v>114065296</v>
      </c>
      <c r="G363" s="27">
        <v>92392889.760000005</v>
      </c>
      <c r="H363" s="27">
        <v>60055378.344000004</v>
      </c>
      <c r="I363" s="44">
        <v>56431</v>
      </c>
      <c r="J363" s="25" t="s">
        <v>99</v>
      </c>
      <c r="K363" s="25" t="s">
        <v>134</v>
      </c>
      <c r="L363" s="25" t="s">
        <v>95</v>
      </c>
      <c r="M363" s="45">
        <f t="shared" ca="1" si="20"/>
        <v>254</v>
      </c>
      <c r="N363" s="34" t="str">
        <f t="shared" ca="1" si="21"/>
        <v>90+</v>
      </c>
      <c r="O363" s="34">
        <f t="shared" si="22"/>
        <v>0.65</v>
      </c>
      <c r="P363" s="35">
        <f t="shared" si="23"/>
        <v>0.35</v>
      </c>
    </row>
    <row r="364" spans="4:16">
      <c r="D364" s="25" t="s">
        <v>1654</v>
      </c>
      <c r="E364" s="25" t="s">
        <v>1655</v>
      </c>
      <c r="F364" s="27">
        <v>4458126</v>
      </c>
      <c r="G364" s="27">
        <v>1916994.18</v>
      </c>
      <c r="H364" s="27">
        <v>57509.825400000002</v>
      </c>
      <c r="I364" s="44">
        <v>56462</v>
      </c>
      <c r="J364" s="25" t="s">
        <v>99</v>
      </c>
      <c r="K364" s="25" t="s">
        <v>89</v>
      </c>
      <c r="L364" s="25" t="s">
        <v>110</v>
      </c>
      <c r="M364" s="45">
        <f t="shared" ca="1" si="20"/>
        <v>272</v>
      </c>
      <c r="N364" s="34" t="str">
        <f t="shared" ca="1" si="21"/>
        <v>90+</v>
      </c>
      <c r="O364" s="34">
        <f t="shared" si="22"/>
        <v>3.0000000000000002E-2</v>
      </c>
      <c r="P364" s="35">
        <f t="shared" si="23"/>
        <v>0.97</v>
      </c>
    </row>
    <row r="365" spans="4:16">
      <c r="D365" s="25" t="s">
        <v>1656</v>
      </c>
      <c r="E365" s="25" t="s">
        <v>1657</v>
      </c>
      <c r="F365" s="27">
        <v>132350659</v>
      </c>
      <c r="G365" s="27">
        <v>88674941.530000001</v>
      </c>
      <c r="H365" s="27">
        <v>44337470.765000001</v>
      </c>
      <c r="I365" s="44">
        <v>56493</v>
      </c>
      <c r="J365" s="25" t="s">
        <v>99</v>
      </c>
      <c r="K365" s="25" t="s">
        <v>134</v>
      </c>
      <c r="L365" s="25" t="s">
        <v>90</v>
      </c>
      <c r="M365" s="45">
        <f t="shared" ca="1" si="20"/>
        <v>221</v>
      </c>
      <c r="N365" s="34" t="str">
        <f t="shared" ca="1" si="21"/>
        <v>90+</v>
      </c>
      <c r="O365" s="34">
        <f t="shared" si="22"/>
        <v>0.5</v>
      </c>
      <c r="P365" s="35">
        <f t="shared" si="23"/>
        <v>0.5</v>
      </c>
    </row>
    <row r="366" spans="4:16">
      <c r="D366" s="25" t="s">
        <v>1658</v>
      </c>
      <c r="E366" s="25" t="s">
        <v>1659</v>
      </c>
      <c r="F366" s="27">
        <v>96237212</v>
      </c>
      <c r="G366" s="27">
        <v>59667071.439999998</v>
      </c>
      <c r="H366" s="27">
        <v>19093462.860799998</v>
      </c>
      <c r="I366" s="44">
        <v>56523</v>
      </c>
      <c r="J366" s="25" t="s">
        <v>52</v>
      </c>
      <c r="K366" s="25" t="s">
        <v>134</v>
      </c>
      <c r="L366" s="25" t="s">
        <v>95</v>
      </c>
      <c r="M366" s="45">
        <f t="shared" ca="1" si="20"/>
        <v>354</v>
      </c>
      <c r="N366" s="34" t="str">
        <f t="shared" ca="1" si="21"/>
        <v>90+</v>
      </c>
      <c r="O366" s="34">
        <f t="shared" si="22"/>
        <v>0.32</v>
      </c>
      <c r="P366" s="35">
        <f t="shared" si="23"/>
        <v>0.67999999999999994</v>
      </c>
    </row>
    <row r="367" spans="4:16">
      <c r="D367" s="25" t="s">
        <v>1660</v>
      </c>
      <c r="E367" s="25" t="s">
        <v>1661</v>
      </c>
      <c r="F367" s="27">
        <v>83366454</v>
      </c>
      <c r="G367" s="27">
        <v>31679252.52</v>
      </c>
      <c r="H367" s="27">
        <v>14255663.634000001</v>
      </c>
      <c r="I367" s="44">
        <v>56554</v>
      </c>
      <c r="J367" s="25" t="s">
        <v>52</v>
      </c>
      <c r="K367" s="25" t="s">
        <v>109</v>
      </c>
      <c r="L367" s="25" t="s">
        <v>114</v>
      </c>
      <c r="M367" s="45">
        <f t="shared" ca="1" si="20"/>
        <v>82</v>
      </c>
      <c r="N367" s="34" t="str">
        <f t="shared" ca="1" si="21"/>
        <v>61-90</v>
      </c>
      <c r="O367" s="34">
        <f t="shared" si="22"/>
        <v>0.45000000000000007</v>
      </c>
      <c r="P367" s="35">
        <f t="shared" si="23"/>
        <v>0.54999999999999993</v>
      </c>
    </row>
    <row r="368" spans="4:16">
      <c r="D368" s="25" t="s">
        <v>1662</v>
      </c>
      <c r="E368" s="25" t="s">
        <v>1663</v>
      </c>
      <c r="F368" s="27">
        <v>30791644</v>
      </c>
      <c r="G368" s="27">
        <v>7082078.1200000001</v>
      </c>
      <c r="H368" s="27">
        <v>1770519.53</v>
      </c>
      <c r="I368" s="44">
        <v>56584</v>
      </c>
      <c r="J368" s="25" t="s">
        <v>52</v>
      </c>
      <c r="K368" s="25" t="s">
        <v>125</v>
      </c>
      <c r="L368" s="25" t="s">
        <v>114</v>
      </c>
      <c r="M368" s="45">
        <f t="shared" ca="1" si="20"/>
        <v>34</v>
      </c>
      <c r="N368" s="34" t="str">
        <f t="shared" ca="1" si="21"/>
        <v>31-60</v>
      </c>
      <c r="O368" s="34">
        <f t="shared" si="22"/>
        <v>0.25</v>
      </c>
      <c r="P368" s="35">
        <f t="shared" si="23"/>
        <v>0.75</v>
      </c>
    </row>
    <row r="369" spans="4:16">
      <c r="D369" s="25" t="s">
        <v>1664</v>
      </c>
      <c r="E369" s="25" t="s">
        <v>1665</v>
      </c>
      <c r="F369" s="27">
        <v>19349348</v>
      </c>
      <c r="G369" s="27">
        <v>7933232.6799999997</v>
      </c>
      <c r="H369" s="27">
        <v>2221305.1503999997</v>
      </c>
      <c r="I369" s="44">
        <v>56615</v>
      </c>
      <c r="J369" s="25" t="s">
        <v>52</v>
      </c>
      <c r="K369" s="25" t="s">
        <v>89</v>
      </c>
      <c r="L369" s="25" t="s">
        <v>110</v>
      </c>
      <c r="M369" s="45">
        <f t="shared" ca="1" si="20"/>
        <v>326</v>
      </c>
      <c r="N369" s="34" t="str">
        <f t="shared" ca="1" si="21"/>
        <v>90+</v>
      </c>
      <c r="O369" s="34">
        <f t="shared" si="22"/>
        <v>0.27999999999999997</v>
      </c>
      <c r="P369" s="35">
        <f t="shared" si="23"/>
        <v>0.72</v>
      </c>
    </row>
    <row r="370" spans="4:16">
      <c r="D370" s="25" t="s">
        <v>1666</v>
      </c>
      <c r="E370" s="25" t="s">
        <v>1667</v>
      </c>
      <c r="F370" s="27">
        <v>153585848</v>
      </c>
      <c r="G370" s="27">
        <v>109045952.08</v>
      </c>
      <c r="H370" s="27">
        <v>27261488.02</v>
      </c>
      <c r="I370" s="44">
        <v>56646</v>
      </c>
      <c r="J370" s="25" t="s">
        <v>52</v>
      </c>
      <c r="K370" s="25" t="s">
        <v>56</v>
      </c>
      <c r="L370" s="25" t="s">
        <v>121</v>
      </c>
      <c r="M370" s="45">
        <f t="shared" ca="1" si="20"/>
        <v>89</v>
      </c>
      <c r="N370" s="34" t="str">
        <f t="shared" ca="1" si="21"/>
        <v>61-90</v>
      </c>
      <c r="O370" s="34">
        <f t="shared" si="22"/>
        <v>0.25</v>
      </c>
      <c r="P370" s="35">
        <f t="shared" si="23"/>
        <v>0.75</v>
      </c>
    </row>
    <row r="371" spans="4:16">
      <c r="D371" s="25" t="s">
        <v>1668</v>
      </c>
      <c r="E371" s="25" t="s">
        <v>1669</v>
      </c>
      <c r="F371" s="27">
        <v>90311795</v>
      </c>
      <c r="G371" s="27">
        <v>44252779.549999997</v>
      </c>
      <c r="H371" s="27">
        <v>14603417.251499999</v>
      </c>
      <c r="I371" s="44">
        <v>56674</v>
      </c>
      <c r="J371" s="25" t="s">
        <v>52</v>
      </c>
      <c r="K371" s="25" t="s">
        <v>125</v>
      </c>
      <c r="L371" s="25" t="s">
        <v>90</v>
      </c>
      <c r="M371" s="45">
        <f t="shared" ca="1" si="20"/>
        <v>191</v>
      </c>
      <c r="N371" s="34" t="str">
        <f t="shared" ca="1" si="21"/>
        <v>90+</v>
      </c>
      <c r="O371" s="34">
        <f t="shared" si="22"/>
        <v>0.33</v>
      </c>
      <c r="P371" s="35">
        <f t="shared" si="23"/>
        <v>0.66999999999999993</v>
      </c>
    </row>
    <row r="372" spans="4:16">
      <c r="D372" s="25" t="s">
        <v>1670</v>
      </c>
      <c r="E372" s="25" t="s">
        <v>1671</v>
      </c>
      <c r="F372" s="27">
        <v>79579827</v>
      </c>
      <c r="G372" s="27">
        <v>67642852.950000003</v>
      </c>
      <c r="H372" s="27">
        <v>676428.52950000006</v>
      </c>
      <c r="I372" s="44">
        <v>56705</v>
      </c>
      <c r="J372" s="25" t="s">
        <v>99</v>
      </c>
      <c r="K372" s="25" t="s">
        <v>94</v>
      </c>
      <c r="L372" s="25" t="s">
        <v>95</v>
      </c>
      <c r="M372" s="45">
        <f t="shared" ca="1" si="20"/>
        <v>320</v>
      </c>
      <c r="N372" s="34" t="str">
        <f t="shared" ca="1" si="21"/>
        <v>90+</v>
      </c>
      <c r="O372" s="34">
        <f t="shared" si="22"/>
        <v>0.01</v>
      </c>
      <c r="P372" s="35">
        <f t="shared" si="23"/>
        <v>0.99</v>
      </c>
    </row>
    <row r="373" spans="4:16">
      <c r="D373" s="25" t="s">
        <v>1672</v>
      </c>
      <c r="E373" s="25" t="s">
        <v>1673</v>
      </c>
      <c r="F373" s="27">
        <v>107949247</v>
      </c>
      <c r="G373" s="27">
        <v>63690055.729999997</v>
      </c>
      <c r="H373" s="27">
        <v>9553508.3594999984</v>
      </c>
      <c r="I373" s="44">
        <v>56735</v>
      </c>
      <c r="J373" s="25" t="s">
        <v>52</v>
      </c>
      <c r="K373" s="25" t="s">
        <v>134</v>
      </c>
      <c r="L373" s="25" t="s">
        <v>110</v>
      </c>
      <c r="M373" s="45">
        <f t="shared" ca="1" si="20"/>
        <v>267</v>
      </c>
      <c r="N373" s="34" t="str">
        <f t="shared" ca="1" si="21"/>
        <v>90+</v>
      </c>
      <c r="O373" s="34">
        <f t="shared" si="22"/>
        <v>0.15</v>
      </c>
      <c r="P373" s="35">
        <f t="shared" si="23"/>
        <v>0.85</v>
      </c>
    </row>
    <row r="374" spans="4:16">
      <c r="D374" s="25" t="s">
        <v>1674</v>
      </c>
      <c r="E374" s="25" t="s">
        <v>1675</v>
      </c>
      <c r="F374" s="27">
        <v>198358600</v>
      </c>
      <c r="G374" s="27">
        <v>117031574</v>
      </c>
      <c r="H374" s="27">
        <v>63197049.960000001</v>
      </c>
      <c r="I374" s="44">
        <v>56766</v>
      </c>
      <c r="J374" s="25" t="s">
        <v>133</v>
      </c>
      <c r="K374" s="25" t="s">
        <v>56</v>
      </c>
      <c r="L374" s="25" t="s">
        <v>121</v>
      </c>
      <c r="M374" s="45">
        <f t="shared" ca="1" si="20"/>
        <v>258</v>
      </c>
      <c r="N374" s="34" t="str">
        <f t="shared" ca="1" si="21"/>
        <v>90+</v>
      </c>
      <c r="O374" s="34">
        <f t="shared" si="22"/>
        <v>0.54</v>
      </c>
      <c r="P374" s="35">
        <f t="shared" si="23"/>
        <v>0.45999999999999996</v>
      </c>
    </row>
    <row r="375" spans="4:16">
      <c r="D375" s="25" t="s">
        <v>1676</v>
      </c>
      <c r="E375" s="25" t="s">
        <v>1677</v>
      </c>
      <c r="F375" s="27">
        <v>92986667</v>
      </c>
      <c r="G375" s="27">
        <v>68810133.579999998</v>
      </c>
      <c r="H375" s="27">
        <v>15826330.723399999</v>
      </c>
      <c r="I375" s="44">
        <v>56796</v>
      </c>
      <c r="J375" s="25" t="s">
        <v>52</v>
      </c>
      <c r="K375" s="25" t="s">
        <v>94</v>
      </c>
      <c r="L375" s="25" t="s">
        <v>114</v>
      </c>
      <c r="M375" s="45">
        <f t="shared" ca="1" si="20"/>
        <v>64</v>
      </c>
      <c r="N375" s="34" t="str">
        <f t="shared" ca="1" si="21"/>
        <v>61-90</v>
      </c>
      <c r="O375" s="34">
        <f t="shared" si="22"/>
        <v>0.22999999999999998</v>
      </c>
      <c r="P375" s="35">
        <f t="shared" si="23"/>
        <v>0.77</v>
      </c>
    </row>
    <row r="376" spans="4:16">
      <c r="D376" s="25" t="s">
        <v>1678</v>
      </c>
      <c r="E376" s="25" t="s">
        <v>1679</v>
      </c>
      <c r="F376" s="27">
        <v>103562213</v>
      </c>
      <c r="G376" s="27">
        <v>40389263.07</v>
      </c>
      <c r="H376" s="27">
        <v>23829665.211300001</v>
      </c>
      <c r="I376" s="44">
        <v>56827</v>
      </c>
      <c r="J376" s="25" t="s">
        <v>133</v>
      </c>
      <c r="K376" s="25" t="s">
        <v>56</v>
      </c>
      <c r="L376" s="25" t="s">
        <v>138</v>
      </c>
      <c r="M376" s="45">
        <f t="shared" ca="1" si="20"/>
        <v>188</v>
      </c>
      <c r="N376" s="34" t="str">
        <f t="shared" ca="1" si="21"/>
        <v>90+</v>
      </c>
      <c r="O376" s="34">
        <f t="shared" si="22"/>
        <v>0.59</v>
      </c>
      <c r="P376" s="35">
        <f t="shared" si="23"/>
        <v>0.41000000000000003</v>
      </c>
    </row>
    <row r="377" spans="4:16">
      <c r="D377" s="25" t="s">
        <v>1680</v>
      </c>
      <c r="E377" s="25" t="s">
        <v>1681</v>
      </c>
      <c r="F377" s="27">
        <v>120413915</v>
      </c>
      <c r="G377" s="27">
        <v>69840070.700000003</v>
      </c>
      <c r="H377" s="27">
        <v>32126432.522000004</v>
      </c>
      <c r="I377" s="44">
        <v>56858</v>
      </c>
      <c r="J377" s="25" t="s">
        <v>52</v>
      </c>
      <c r="K377" s="25" t="s">
        <v>109</v>
      </c>
      <c r="L377" s="25" t="s">
        <v>95</v>
      </c>
      <c r="M377" s="45">
        <f t="shared" ca="1" si="20"/>
        <v>353</v>
      </c>
      <c r="N377" s="34" t="str">
        <f t="shared" ca="1" si="21"/>
        <v>90+</v>
      </c>
      <c r="O377" s="34">
        <f t="shared" si="22"/>
        <v>0.46</v>
      </c>
      <c r="P377" s="35">
        <f t="shared" si="23"/>
        <v>0.54</v>
      </c>
    </row>
    <row r="378" spans="4:16">
      <c r="D378" s="25" t="s">
        <v>1682</v>
      </c>
      <c r="E378" s="25" t="s">
        <v>1683</v>
      </c>
      <c r="F378" s="27">
        <v>35435632</v>
      </c>
      <c r="G378" s="27">
        <v>35081275.68</v>
      </c>
      <c r="H378" s="27">
        <v>19996327.137600001</v>
      </c>
      <c r="I378" s="44">
        <v>56888</v>
      </c>
      <c r="J378" s="25" t="s">
        <v>52</v>
      </c>
      <c r="K378" s="25" t="s">
        <v>94</v>
      </c>
      <c r="L378" s="25" t="s">
        <v>90</v>
      </c>
      <c r="M378" s="45">
        <f t="shared" ca="1" si="20"/>
        <v>201</v>
      </c>
      <c r="N378" s="34" t="str">
        <f t="shared" ca="1" si="21"/>
        <v>90+</v>
      </c>
      <c r="O378" s="34">
        <f t="shared" si="22"/>
        <v>0.57000000000000006</v>
      </c>
      <c r="P378" s="35">
        <f t="shared" si="23"/>
        <v>0.42999999999999994</v>
      </c>
    </row>
    <row r="379" spans="4:16">
      <c r="D379" s="25" t="s">
        <v>1684</v>
      </c>
      <c r="E379" s="25" t="s">
        <v>1685</v>
      </c>
      <c r="F379" s="27">
        <v>28458319</v>
      </c>
      <c r="G379" s="27">
        <v>13090826.74</v>
      </c>
      <c r="H379" s="27">
        <v>7592679.5091999993</v>
      </c>
      <c r="I379" s="44">
        <v>56919</v>
      </c>
      <c r="J379" s="25" t="s">
        <v>99</v>
      </c>
      <c r="K379" s="25" t="s">
        <v>56</v>
      </c>
      <c r="L379" s="25" t="s">
        <v>95</v>
      </c>
      <c r="M379" s="45">
        <f t="shared" ca="1" si="20"/>
        <v>326</v>
      </c>
      <c r="N379" s="34" t="str">
        <f t="shared" ca="1" si="21"/>
        <v>90+</v>
      </c>
      <c r="O379" s="34">
        <f t="shared" si="22"/>
        <v>0.57999999999999996</v>
      </c>
      <c r="P379" s="35">
        <f t="shared" si="23"/>
        <v>0.42000000000000004</v>
      </c>
    </row>
    <row r="380" spans="4:16">
      <c r="D380" s="25" t="s">
        <v>1686</v>
      </c>
      <c r="E380" s="25" t="s">
        <v>1687</v>
      </c>
      <c r="F380" s="27">
        <v>105253063</v>
      </c>
      <c r="G380" s="27">
        <v>17893020.710000001</v>
      </c>
      <c r="H380" s="27">
        <v>5725766.6272</v>
      </c>
      <c r="I380" s="44">
        <v>56949</v>
      </c>
      <c r="J380" s="25" t="s">
        <v>52</v>
      </c>
      <c r="K380" s="25" t="s">
        <v>125</v>
      </c>
      <c r="L380" s="25" t="s">
        <v>121</v>
      </c>
      <c r="M380" s="45">
        <f t="shared" ca="1" si="20"/>
        <v>335</v>
      </c>
      <c r="N380" s="34" t="str">
        <f t="shared" ca="1" si="21"/>
        <v>90+</v>
      </c>
      <c r="O380" s="34">
        <f t="shared" si="22"/>
        <v>0.32</v>
      </c>
      <c r="P380" s="35">
        <f t="shared" si="23"/>
        <v>0.67999999999999994</v>
      </c>
    </row>
    <row r="381" spans="4:16">
      <c r="D381" s="25" t="s">
        <v>1688</v>
      </c>
      <c r="E381" s="25" t="s">
        <v>1689</v>
      </c>
      <c r="F381" s="27">
        <v>84325990</v>
      </c>
      <c r="G381" s="27">
        <v>68304051.900000006</v>
      </c>
      <c r="H381" s="27">
        <v>6830405.1900000004</v>
      </c>
      <c r="I381" s="44">
        <v>56980</v>
      </c>
      <c r="J381" s="25" t="s">
        <v>52</v>
      </c>
      <c r="K381" s="25" t="s">
        <v>89</v>
      </c>
      <c r="L381" s="25" t="s">
        <v>90</v>
      </c>
      <c r="M381" s="45">
        <f t="shared" ca="1" si="20"/>
        <v>90</v>
      </c>
      <c r="N381" s="34" t="str">
        <f t="shared" ca="1" si="21"/>
        <v>61-90</v>
      </c>
      <c r="O381" s="34">
        <f t="shared" si="22"/>
        <v>9.9999999999999992E-2</v>
      </c>
      <c r="P381" s="35">
        <f t="shared" si="23"/>
        <v>0.9</v>
      </c>
    </row>
    <row r="382" spans="4:16">
      <c r="D382" s="25" t="s">
        <v>1690</v>
      </c>
      <c r="E382" s="25" t="s">
        <v>1691</v>
      </c>
      <c r="F382" s="27">
        <v>107027706</v>
      </c>
      <c r="G382" s="27">
        <v>70638285.959999993</v>
      </c>
      <c r="H382" s="27">
        <v>39557440.137599997</v>
      </c>
      <c r="I382" s="44">
        <v>57011</v>
      </c>
      <c r="J382" s="25" t="s">
        <v>133</v>
      </c>
      <c r="K382" s="25" t="s">
        <v>125</v>
      </c>
      <c r="L382" s="25" t="s">
        <v>90</v>
      </c>
      <c r="M382" s="45">
        <f t="shared" ca="1" si="20"/>
        <v>198</v>
      </c>
      <c r="N382" s="34" t="str">
        <f t="shared" ca="1" si="21"/>
        <v>90+</v>
      </c>
      <c r="O382" s="34">
        <f t="shared" si="22"/>
        <v>0.56000000000000005</v>
      </c>
      <c r="P382" s="35">
        <f t="shared" si="23"/>
        <v>0.43999999999999995</v>
      </c>
    </row>
    <row r="383" spans="4:16">
      <c r="D383" s="25" t="s">
        <v>1692</v>
      </c>
      <c r="E383" s="25" t="s">
        <v>1693</v>
      </c>
      <c r="F383" s="27">
        <v>77522637</v>
      </c>
      <c r="G383" s="27">
        <v>31784281.170000002</v>
      </c>
      <c r="H383" s="27">
        <v>12395869.656300001</v>
      </c>
      <c r="I383" s="44">
        <v>57040</v>
      </c>
      <c r="J383" s="25" t="s">
        <v>133</v>
      </c>
      <c r="K383" s="25" t="s">
        <v>94</v>
      </c>
      <c r="L383" s="25" t="s">
        <v>110</v>
      </c>
      <c r="M383" s="45">
        <f t="shared" ca="1" si="20"/>
        <v>264</v>
      </c>
      <c r="N383" s="34" t="str">
        <f t="shared" ca="1" si="21"/>
        <v>90+</v>
      </c>
      <c r="O383" s="34">
        <f t="shared" si="22"/>
        <v>0.39</v>
      </c>
      <c r="P383" s="35">
        <f t="shared" si="23"/>
        <v>0.61</v>
      </c>
    </row>
    <row r="384" spans="4:16">
      <c r="D384" s="25" t="s">
        <v>1694</v>
      </c>
      <c r="E384" s="25" t="s">
        <v>1695</v>
      </c>
      <c r="F384" s="27">
        <v>189141448</v>
      </c>
      <c r="G384" s="27">
        <v>170227303.19999999</v>
      </c>
      <c r="H384" s="27">
        <v>10213638.192</v>
      </c>
      <c r="I384" s="44">
        <v>57071</v>
      </c>
      <c r="J384" s="25" t="s">
        <v>52</v>
      </c>
      <c r="K384" s="25" t="s">
        <v>134</v>
      </c>
      <c r="L384" s="25" t="s">
        <v>121</v>
      </c>
      <c r="M384" s="45">
        <f t="shared" ca="1" si="20"/>
        <v>106</v>
      </c>
      <c r="N384" s="34" t="str">
        <f t="shared" ca="1" si="21"/>
        <v>90+</v>
      </c>
      <c r="O384" s="34">
        <f t="shared" si="22"/>
        <v>6.0000000000000005E-2</v>
      </c>
      <c r="P384" s="35">
        <f t="shared" si="23"/>
        <v>0.94</v>
      </c>
    </row>
    <row r="385" spans="4:16">
      <c r="D385" s="25" t="s">
        <v>1696</v>
      </c>
      <c r="E385" s="25" t="s">
        <v>1697</v>
      </c>
      <c r="F385" s="27">
        <v>134173405</v>
      </c>
      <c r="G385" s="27">
        <v>48302425.799999997</v>
      </c>
      <c r="H385" s="27">
        <v>12558630.707999999</v>
      </c>
      <c r="I385" s="44">
        <v>57101</v>
      </c>
      <c r="J385" s="25" t="s">
        <v>133</v>
      </c>
      <c r="K385" s="25" t="s">
        <v>134</v>
      </c>
      <c r="L385" s="25" t="s">
        <v>95</v>
      </c>
      <c r="M385" s="45">
        <f t="shared" ca="1" si="20"/>
        <v>226</v>
      </c>
      <c r="N385" s="34" t="str">
        <f t="shared" ca="1" si="21"/>
        <v>90+</v>
      </c>
      <c r="O385" s="34">
        <f t="shared" si="22"/>
        <v>0.26</v>
      </c>
      <c r="P385" s="35">
        <f t="shared" si="23"/>
        <v>0.74</v>
      </c>
    </row>
    <row r="386" spans="4:16">
      <c r="D386" s="25" t="s">
        <v>1698</v>
      </c>
      <c r="E386" s="25" t="s">
        <v>1699</v>
      </c>
      <c r="F386" s="27">
        <v>121603721</v>
      </c>
      <c r="G386" s="27">
        <v>52289600.030000001</v>
      </c>
      <c r="H386" s="27">
        <v>17778464.010200001</v>
      </c>
      <c r="I386" s="44">
        <v>57132</v>
      </c>
      <c r="J386" s="25" t="s">
        <v>52</v>
      </c>
      <c r="K386" s="25" t="s">
        <v>89</v>
      </c>
      <c r="L386" s="25" t="s">
        <v>110</v>
      </c>
      <c r="M386" s="45">
        <f t="shared" ca="1" si="20"/>
        <v>304</v>
      </c>
      <c r="N386" s="34" t="str">
        <f t="shared" ca="1" si="21"/>
        <v>90+</v>
      </c>
      <c r="O386" s="34">
        <f t="shared" si="22"/>
        <v>0.34</v>
      </c>
      <c r="P386" s="35">
        <f t="shared" si="23"/>
        <v>0.65999999999999992</v>
      </c>
    </row>
    <row r="387" spans="4:16">
      <c r="D387" s="25" t="s">
        <v>1700</v>
      </c>
      <c r="E387" s="25" t="s">
        <v>1701</v>
      </c>
      <c r="F387" s="27">
        <v>151089404</v>
      </c>
      <c r="G387" s="27">
        <v>137491357.63999999</v>
      </c>
      <c r="H387" s="27">
        <v>24748444.375199996</v>
      </c>
      <c r="I387" s="44">
        <v>57162</v>
      </c>
      <c r="J387" s="25" t="s">
        <v>52</v>
      </c>
      <c r="K387" s="25" t="s">
        <v>94</v>
      </c>
      <c r="L387" s="25" t="s">
        <v>110</v>
      </c>
      <c r="M387" s="45">
        <f t="shared" ca="1" si="20"/>
        <v>145</v>
      </c>
      <c r="N387" s="34" t="str">
        <f t="shared" ca="1" si="21"/>
        <v>90+</v>
      </c>
      <c r="O387" s="34">
        <f t="shared" si="22"/>
        <v>0.18</v>
      </c>
      <c r="P387" s="35">
        <f t="shared" si="23"/>
        <v>0.82000000000000006</v>
      </c>
    </row>
    <row r="388" spans="4:16">
      <c r="D388" s="25" t="s">
        <v>1702</v>
      </c>
      <c r="E388" s="25" t="s">
        <v>1703</v>
      </c>
      <c r="F388" s="27">
        <v>127046433</v>
      </c>
      <c r="G388" s="27">
        <v>77498324.129999995</v>
      </c>
      <c r="H388" s="27">
        <v>6974849.1716999998</v>
      </c>
      <c r="I388" s="44">
        <v>57193</v>
      </c>
      <c r="J388" s="25" t="s">
        <v>99</v>
      </c>
      <c r="K388" s="25" t="s">
        <v>125</v>
      </c>
      <c r="L388" s="25" t="s">
        <v>114</v>
      </c>
      <c r="M388" s="45">
        <f t="shared" ca="1" si="20"/>
        <v>89</v>
      </c>
      <c r="N388" s="34" t="str">
        <f t="shared" ca="1" si="21"/>
        <v>61-90</v>
      </c>
      <c r="O388" s="34">
        <f t="shared" si="22"/>
        <v>0.09</v>
      </c>
      <c r="P388" s="35">
        <f t="shared" si="23"/>
        <v>0.91</v>
      </c>
    </row>
    <row r="389" spans="4:16">
      <c r="D389" s="25" t="s">
        <v>1704</v>
      </c>
      <c r="E389" s="25" t="s">
        <v>1705</v>
      </c>
      <c r="F389" s="27">
        <v>120685161</v>
      </c>
      <c r="G389" s="27">
        <v>120685161</v>
      </c>
      <c r="H389" s="27">
        <v>15689070.93</v>
      </c>
      <c r="I389" s="44">
        <v>57224</v>
      </c>
      <c r="J389" s="25" t="s">
        <v>52</v>
      </c>
      <c r="K389" s="25" t="s">
        <v>134</v>
      </c>
      <c r="L389" s="25" t="s">
        <v>114</v>
      </c>
      <c r="M389" s="45">
        <f t="shared" ca="1" si="20"/>
        <v>219</v>
      </c>
      <c r="N389" s="34" t="str">
        <f t="shared" ca="1" si="21"/>
        <v>90+</v>
      </c>
      <c r="O389" s="34">
        <f t="shared" si="22"/>
        <v>0.13</v>
      </c>
      <c r="P389" s="35">
        <f t="shared" si="23"/>
        <v>0.87</v>
      </c>
    </row>
    <row r="390" spans="4:16">
      <c r="D390" s="25" t="s">
        <v>1706</v>
      </c>
      <c r="E390" s="25" t="s">
        <v>1707</v>
      </c>
      <c r="F390" s="27">
        <v>105637745</v>
      </c>
      <c r="G390" s="27">
        <v>91904838.150000006</v>
      </c>
      <c r="H390" s="27">
        <v>39519080.4045</v>
      </c>
      <c r="I390" s="44">
        <v>57254</v>
      </c>
      <c r="J390" s="25" t="s">
        <v>99</v>
      </c>
      <c r="K390" s="25" t="s">
        <v>94</v>
      </c>
      <c r="L390" s="25" t="s">
        <v>114</v>
      </c>
      <c r="M390" s="45">
        <f t="shared" ca="1" si="20"/>
        <v>235</v>
      </c>
      <c r="N390" s="34" t="str">
        <f t="shared" ca="1" si="21"/>
        <v>90+</v>
      </c>
      <c r="O390" s="34">
        <f t="shared" si="22"/>
        <v>0.43</v>
      </c>
      <c r="P390" s="35">
        <f t="shared" si="23"/>
        <v>0.57000000000000006</v>
      </c>
    </row>
    <row r="391" spans="4:16">
      <c r="D391" s="25" t="s">
        <v>1708</v>
      </c>
      <c r="E391" s="25" t="s">
        <v>1709</v>
      </c>
      <c r="F391" s="27">
        <v>163844547</v>
      </c>
      <c r="G391" s="27">
        <v>86837609.909999996</v>
      </c>
      <c r="H391" s="27">
        <v>27788035.1712</v>
      </c>
      <c r="I391" s="44">
        <v>57285</v>
      </c>
      <c r="J391" s="25" t="s">
        <v>52</v>
      </c>
      <c r="K391" s="25" t="s">
        <v>134</v>
      </c>
      <c r="L391" s="25" t="s">
        <v>114</v>
      </c>
      <c r="M391" s="45">
        <f t="shared" ca="1" si="20"/>
        <v>328</v>
      </c>
      <c r="N391" s="34" t="str">
        <f t="shared" ca="1" si="21"/>
        <v>90+</v>
      </c>
      <c r="O391" s="34">
        <f t="shared" si="22"/>
        <v>0.32</v>
      </c>
      <c r="P391" s="35">
        <f t="shared" si="23"/>
        <v>0.67999999999999994</v>
      </c>
    </row>
    <row r="392" spans="4:16">
      <c r="D392" s="25" t="s">
        <v>1710</v>
      </c>
      <c r="E392" s="25" t="s">
        <v>1711</v>
      </c>
      <c r="F392" s="27">
        <v>23674148</v>
      </c>
      <c r="G392" s="27">
        <v>5208312.5599999996</v>
      </c>
      <c r="H392" s="27">
        <v>2968738.1591999996</v>
      </c>
      <c r="I392" s="44">
        <v>57315</v>
      </c>
      <c r="J392" s="25" t="s">
        <v>52</v>
      </c>
      <c r="K392" s="25" t="s">
        <v>109</v>
      </c>
      <c r="L392" s="25" t="s">
        <v>138</v>
      </c>
      <c r="M392" s="45">
        <f t="shared" ca="1" si="20"/>
        <v>317</v>
      </c>
      <c r="N392" s="34" t="str">
        <f t="shared" ca="1" si="21"/>
        <v>90+</v>
      </c>
      <c r="O392" s="34">
        <f t="shared" si="22"/>
        <v>0.56999999999999995</v>
      </c>
      <c r="P392" s="35">
        <f t="shared" si="23"/>
        <v>0.43000000000000005</v>
      </c>
    </row>
    <row r="393" spans="4:16">
      <c r="D393" s="25" t="s">
        <v>1712</v>
      </c>
      <c r="E393" s="25" t="s">
        <v>1713</v>
      </c>
      <c r="F393" s="27">
        <v>103668543</v>
      </c>
      <c r="G393" s="27">
        <v>42504102.630000003</v>
      </c>
      <c r="H393" s="27">
        <v>3400328.2104000002</v>
      </c>
      <c r="I393" s="44">
        <v>57346</v>
      </c>
      <c r="J393" s="25" t="s">
        <v>99</v>
      </c>
      <c r="K393" s="25" t="s">
        <v>89</v>
      </c>
      <c r="L393" s="25" t="s">
        <v>90</v>
      </c>
      <c r="M393" s="45">
        <f t="shared" ref="M393:M439" ca="1" si="24">RANDBETWEEN(31,360)</f>
        <v>160</v>
      </c>
      <c r="N393" s="34" t="str">
        <f t="shared" ref="N393:N439" ca="1" si="25">IF(M393&lt;=0,"Current",
IF(M393&lt;=30,"1-30",
IF(M393&lt;=60,"31-60",
IF(M393&lt;=90,"61-90","90+"))))</f>
        <v>90+</v>
      </c>
      <c r="O393" s="34">
        <f t="shared" ref="O393:O439" si="26">H393/G393</f>
        <v>0.08</v>
      </c>
      <c r="P393" s="35">
        <f t="shared" ref="P393:P439" si="27">1-O393</f>
        <v>0.92</v>
      </c>
    </row>
    <row r="394" spans="4:16">
      <c r="D394" s="25" t="s">
        <v>1714</v>
      </c>
      <c r="E394" s="25" t="s">
        <v>1715</v>
      </c>
      <c r="F394" s="27">
        <v>127438868</v>
      </c>
      <c r="G394" s="27">
        <v>82835264.200000003</v>
      </c>
      <c r="H394" s="27">
        <v>14081994.914000001</v>
      </c>
      <c r="I394" s="44">
        <v>57377</v>
      </c>
      <c r="J394" s="25" t="s">
        <v>99</v>
      </c>
      <c r="K394" s="25" t="s">
        <v>125</v>
      </c>
      <c r="L394" s="25" t="s">
        <v>90</v>
      </c>
      <c r="M394" s="45">
        <f t="shared" ca="1" si="24"/>
        <v>317</v>
      </c>
      <c r="N394" s="34" t="str">
        <f t="shared" ca="1" si="25"/>
        <v>90+</v>
      </c>
      <c r="O394" s="34">
        <f t="shared" si="26"/>
        <v>0.17</v>
      </c>
      <c r="P394" s="35">
        <f t="shared" si="27"/>
        <v>0.83</v>
      </c>
    </row>
    <row r="395" spans="4:16">
      <c r="D395" s="25" t="s">
        <v>1716</v>
      </c>
      <c r="E395" s="25" t="s">
        <v>1717</v>
      </c>
      <c r="F395" s="27">
        <v>137818642</v>
      </c>
      <c r="G395" s="27">
        <v>118524032.12</v>
      </c>
      <c r="H395" s="27">
        <v>2370480.6424000002</v>
      </c>
      <c r="I395" s="44">
        <v>57405</v>
      </c>
      <c r="J395" s="25" t="s">
        <v>99</v>
      </c>
      <c r="K395" s="25" t="s">
        <v>134</v>
      </c>
      <c r="L395" s="25" t="s">
        <v>95</v>
      </c>
      <c r="M395" s="45">
        <f t="shared" ca="1" si="24"/>
        <v>85</v>
      </c>
      <c r="N395" s="34" t="str">
        <f t="shared" ca="1" si="25"/>
        <v>61-90</v>
      </c>
      <c r="O395" s="34">
        <f t="shared" si="26"/>
        <v>0.02</v>
      </c>
      <c r="P395" s="35">
        <f t="shared" si="27"/>
        <v>0.98</v>
      </c>
    </row>
    <row r="396" spans="4:16">
      <c r="D396" s="25" t="s">
        <v>1718</v>
      </c>
      <c r="E396" s="25" t="s">
        <v>1719</v>
      </c>
      <c r="F396" s="27">
        <v>99491343</v>
      </c>
      <c r="G396" s="27">
        <v>16913528.309999999</v>
      </c>
      <c r="H396" s="27">
        <v>3551840.9451000001</v>
      </c>
      <c r="I396" s="44">
        <v>57436</v>
      </c>
      <c r="J396" s="25" t="s">
        <v>99</v>
      </c>
      <c r="K396" s="25" t="s">
        <v>56</v>
      </c>
      <c r="L396" s="25" t="s">
        <v>114</v>
      </c>
      <c r="M396" s="45">
        <f t="shared" ca="1" si="24"/>
        <v>59</v>
      </c>
      <c r="N396" s="34" t="str">
        <f t="shared" ca="1" si="25"/>
        <v>31-60</v>
      </c>
      <c r="O396" s="34">
        <f t="shared" si="26"/>
        <v>0.21000000000000002</v>
      </c>
      <c r="P396" s="35">
        <f t="shared" si="27"/>
        <v>0.79</v>
      </c>
    </row>
    <row r="397" spans="4:16">
      <c r="D397" s="25" t="s">
        <v>1720</v>
      </c>
      <c r="E397" s="25" t="s">
        <v>1721</v>
      </c>
      <c r="F397" s="27">
        <v>2401165</v>
      </c>
      <c r="G397" s="27">
        <v>768372.8</v>
      </c>
      <c r="H397" s="27">
        <v>30734.912</v>
      </c>
      <c r="I397" s="44">
        <v>57466</v>
      </c>
      <c r="J397" s="25" t="s">
        <v>52</v>
      </c>
      <c r="K397" s="25" t="s">
        <v>109</v>
      </c>
      <c r="L397" s="25" t="s">
        <v>121</v>
      </c>
      <c r="M397" s="45">
        <f t="shared" ca="1" si="24"/>
        <v>192</v>
      </c>
      <c r="N397" s="34" t="str">
        <f t="shared" ca="1" si="25"/>
        <v>90+</v>
      </c>
      <c r="O397" s="34">
        <f t="shared" si="26"/>
        <v>0.04</v>
      </c>
      <c r="P397" s="35">
        <f t="shared" si="27"/>
        <v>0.96</v>
      </c>
    </row>
    <row r="398" spans="4:16">
      <c r="D398" s="25" t="s">
        <v>1722</v>
      </c>
      <c r="E398" s="25" t="s">
        <v>1723</v>
      </c>
      <c r="F398" s="27">
        <v>55458631</v>
      </c>
      <c r="G398" s="27">
        <v>34938937.530000001</v>
      </c>
      <c r="H398" s="27">
        <v>4891451.2542000003</v>
      </c>
      <c r="I398" s="44">
        <v>57497</v>
      </c>
      <c r="J398" s="25" t="s">
        <v>52</v>
      </c>
      <c r="K398" s="25" t="s">
        <v>125</v>
      </c>
      <c r="L398" s="25" t="s">
        <v>114</v>
      </c>
      <c r="M398" s="45">
        <f t="shared" ca="1" si="24"/>
        <v>123</v>
      </c>
      <c r="N398" s="34" t="str">
        <f t="shared" ca="1" si="25"/>
        <v>90+</v>
      </c>
      <c r="O398" s="34">
        <f t="shared" si="26"/>
        <v>0.14000000000000001</v>
      </c>
      <c r="P398" s="35">
        <f t="shared" si="27"/>
        <v>0.86</v>
      </c>
    </row>
    <row r="399" spans="4:16">
      <c r="D399" s="25" t="s">
        <v>1724</v>
      </c>
      <c r="E399" s="25" t="s">
        <v>1725</v>
      </c>
      <c r="F399" s="27">
        <v>56518586</v>
      </c>
      <c r="G399" s="27">
        <v>10738531.34</v>
      </c>
      <c r="H399" s="27">
        <v>4724953.7895999998</v>
      </c>
      <c r="I399" s="44">
        <v>57527</v>
      </c>
      <c r="J399" s="25" t="s">
        <v>52</v>
      </c>
      <c r="K399" s="25" t="s">
        <v>89</v>
      </c>
      <c r="L399" s="25" t="s">
        <v>114</v>
      </c>
      <c r="M399" s="45">
        <f t="shared" ca="1" si="24"/>
        <v>118</v>
      </c>
      <c r="N399" s="34" t="str">
        <f t="shared" ca="1" si="25"/>
        <v>90+</v>
      </c>
      <c r="O399" s="34">
        <f t="shared" si="26"/>
        <v>0.44</v>
      </c>
      <c r="P399" s="35">
        <f t="shared" si="27"/>
        <v>0.56000000000000005</v>
      </c>
    </row>
    <row r="400" spans="4:16">
      <c r="D400" s="25" t="s">
        <v>1726</v>
      </c>
      <c r="E400" s="25" t="s">
        <v>1727</v>
      </c>
      <c r="F400" s="27">
        <v>49180069</v>
      </c>
      <c r="G400" s="27">
        <v>9344213.1099999994</v>
      </c>
      <c r="H400" s="27">
        <v>840979.17989999999</v>
      </c>
      <c r="I400" s="44">
        <v>57558</v>
      </c>
      <c r="J400" s="25" t="s">
        <v>133</v>
      </c>
      <c r="K400" s="25" t="s">
        <v>89</v>
      </c>
      <c r="L400" s="25" t="s">
        <v>114</v>
      </c>
      <c r="M400" s="45">
        <f t="shared" ca="1" si="24"/>
        <v>71</v>
      </c>
      <c r="N400" s="34" t="str">
        <f t="shared" ca="1" si="25"/>
        <v>61-90</v>
      </c>
      <c r="O400" s="34">
        <f t="shared" si="26"/>
        <v>9.0000000000000011E-2</v>
      </c>
      <c r="P400" s="35">
        <f t="shared" si="27"/>
        <v>0.91</v>
      </c>
    </row>
    <row r="401" spans="4:16">
      <c r="D401" s="25" t="s">
        <v>1728</v>
      </c>
      <c r="E401" s="25" t="s">
        <v>1729</v>
      </c>
      <c r="F401" s="27">
        <v>118223421</v>
      </c>
      <c r="G401" s="27">
        <v>61476178.920000002</v>
      </c>
      <c r="H401" s="27">
        <v>19057615.4652</v>
      </c>
      <c r="I401" s="44">
        <v>57589</v>
      </c>
      <c r="J401" s="25" t="s">
        <v>133</v>
      </c>
      <c r="K401" s="25" t="s">
        <v>134</v>
      </c>
      <c r="L401" s="25" t="s">
        <v>110</v>
      </c>
      <c r="M401" s="45">
        <f t="shared" ca="1" si="24"/>
        <v>200</v>
      </c>
      <c r="N401" s="34" t="str">
        <f t="shared" ca="1" si="25"/>
        <v>90+</v>
      </c>
      <c r="O401" s="34">
        <f t="shared" si="26"/>
        <v>0.31</v>
      </c>
      <c r="P401" s="35">
        <f t="shared" si="27"/>
        <v>0.69</v>
      </c>
    </row>
    <row r="402" spans="4:16">
      <c r="D402" s="25" t="s">
        <v>1730</v>
      </c>
      <c r="E402" s="25" t="s">
        <v>1731</v>
      </c>
      <c r="F402" s="27">
        <v>156366979</v>
      </c>
      <c r="G402" s="27">
        <v>145421290.47</v>
      </c>
      <c r="H402" s="27">
        <v>91615412.996100008</v>
      </c>
      <c r="I402" s="44">
        <v>57619</v>
      </c>
      <c r="J402" s="25" t="s">
        <v>99</v>
      </c>
      <c r="K402" s="25" t="s">
        <v>125</v>
      </c>
      <c r="L402" s="25" t="s">
        <v>138</v>
      </c>
      <c r="M402" s="45">
        <f t="shared" ca="1" si="24"/>
        <v>103</v>
      </c>
      <c r="N402" s="34" t="str">
        <f t="shared" ca="1" si="25"/>
        <v>90+</v>
      </c>
      <c r="O402" s="34">
        <f t="shared" si="26"/>
        <v>0.63000000000000012</v>
      </c>
      <c r="P402" s="35">
        <f t="shared" si="27"/>
        <v>0.36999999999999988</v>
      </c>
    </row>
    <row r="403" spans="4:16">
      <c r="D403" s="25" t="s">
        <v>1732</v>
      </c>
      <c r="E403" s="25" t="s">
        <v>1733</v>
      </c>
      <c r="F403" s="27">
        <v>142306002</v>
      </c>
      <c r="G403" s="27">
        <v>69729940.980000004</v>
      </c>
      <c r="H403" s="27">
        <v>29286575.211600002</v>
      </c>
      <c r="I403" s="44">
        <v>57650</v>
      </c>
      <c r="J403" s="25" t="s">
        <v>99</v>
      </c>
      <c r="K403" s="25" t="s">
        <v>134</v>
      </c>
      <c r="L403" s="25" t="s">
        <v>90</v>
      </c>
      <c r="M403" s="45">
        <f t="shared" ca="1" si="24"/>
        <v>207</v>
      </c>
      <c r="N403" s="34" t="str">
        <f t="shared" ca="1" si="25"/>
        <v>90+</v>
      </c>
      <c r="O403" s="34">
        <f t="shared" si="26"/>
        <v>0.42</v>
      </c>
      <c r="P403" s="35">
        <f t="shared" si="27"/>
        <v>0.58000000000000007</v>
      </c>
    </row>
    <row r="404" spans="4:16">
      <c r="D404" s="25" t="s">
        <v>1734</v>
      </c>
      <c r="E404" s="25" t="s">
        <v>1735</v>
      </c>
      <c r="F404" s="27">
        <v>37835005</v>
      </c>
      <c r="G404" s="27">
        <v>10972151.449999999</v>
      </c>
      <c r="H404" s="27">
        <v>2413873.3189999997</v>
      </c>
      <c r="I404" s="44">
        <v>57680</v>
      </c>
      <c r="J404" s="25" t="s">
        <v>99</v>
      </c>
      <c r="K404" s="25" t="s">
        <v>134</v>
      </c>
      <c r="L404" s="25" t="s">
        <v>90</v>
      </c>
      <c r="M404" s="45">
        <f t="shared" ca="1" si="24"/>
        <v>67</v>
      </c>
      <c r="N404" s="34" t="str">
        <f t="shared" ca="1" si="25"/>
        <v>61-90</v>
      </c>
      <c r="O404" s="34">
        <f t="shared" si="26"/>
        <v>0.21999999999999997</v>
      </c>
      <c r="P404" s="35">
        <f t="shared" si="27"/>
        <v>0.78</v>
      </c>
    </row>
    <row r="405" spans="4:16">
      <c r="D405" s="25" t="s">
        <v>1736</v>
      </c>
      <c r="E405" s="25" t="s">
        <v>1737</v>
      </c>
      <c r="F405" s="27">
        <v>105916998</v>
      </c>
      <c r="G405" s="27">
        <v>27538419.48</v>
      </c>
      <c r="H405" s="27">
        <v>9913831.0128000006</v>
      </c>
      <c r="I405" s="44">
        <v>57711</v>
      </c>
      <c r="J405" s="25" t="s">
        <v>52</v>
      </c>
      <c r="K405" s="25" t="s">
        <v>89</v>
      </c>
      <c r="L405" s="25" t="s">
        <v>90</v>
      </c>
      <c r="M405" s="45">
        <f t="shared" ca="1" si="24"/>
        <v>114</v>
      </c>
      <c r="N405" s="34" t="str">
        <f t="shared" ca="1" si="25"/>
        <v>90+</v>
      </c>
      <c r="O405" s="34">
        <f t="shared" si="26"/>
        <v>0.36000000000000004</v>
      </c>
      <c r="P405" s="35">
        <f t="shared" si="27"/>
        <v>0.6399999999999999</v>
      </c>
    </row>
    <row r="406" spans="4:16">
      <c r="D406" s="25" t="s">
        <v>1738</v>
      </c>
      <c r="E406" s="25" t="s">
        <v>1739</v>
      </c>
      <c r="F406" s="27">
        <v>81963752</v>
      </c>
      <c r="G406" s="27">
        <v>37703325.920000002</v>
      </c>
      <c r="H406" s="27">
        <v>21113862.5152</v>
      </c>
      <c r="I406" s="44">
        <v>57742</v>
      </c>
      <c r="J406" s="25" t="s">
        <v>52</v>
      </c>
      <c r="K406" s="25" t="s">
        <v>89</v>
      </c>
      <c r="L406" s="25" t="s">
        <v>110</v>
      </c>
      <c r="M406" s="45">
        <f t="shared" ca="1" si="24"/>
        <v>251</v>
      </c>
      <c r="N406" s="34" t="str">
        <f t="shared" ca="1" si="25"/>
        <v>90+</v>
      </c>
      <c r="O406" s="34">
        <f t="shared" si="26"/>
        <v>0.55999999999999994</v>
      </c>
      <c r="P406" s="35">
        <f t="shared" si="27"/>
        <v>0.44000000000000006</v>
      </c>
    </row>
    <row r="407" spans="4:16">
      <c r="D407" s="25" t="s">
        <v>1740</v>
      </c>
      <c r="E407" s="25" t="s">
        <v>1741</v>
      </c>
      <c r="F407" s="27">
        <v>194762107</v>
      </c>
      <c r="G407" s="27">
        <v>42847663.539999999</v>
      </c>
      <c r="H407" s="27">
        <v>24851644.853200004</v>
      </c>
      <c r="I407" s="44">
        <v>57770</v>
      </c>
      <c r="J407" s="25" t="s">
        <v>52</v>
      </c>
      <c r="K407" s="25" t="s">
        <v>109</v>
      </c>
      <c r="L407" s="25" t="s">
        <v>114</v>
      </c>
      <c r="M407" s="45">
        <f t="shared" ca="1" si="24"/>
        <v>265</v>
      </c>
      <c r="N407" s="34" t="str">
        <f t="shared" ca="1" si="25"/>
        <v>90+</v>
      </c>
      <c r="O407" s="34">
        <f t="shared" si="26"/>
        <v>0.58000000000000007</v>
      </c>
      <c r="P407" s="35">
        <f t="shared" si="27"/>
        <v>0.41999999999999993</v>
      </c>
    </row>
    <row r="408" spans="4:16">
      <c r="D408" s="25" t="s">
        <v>1742</v>
      </c>
      <c r="E408" s="25" t="s">
        <v>1743</v>
      </c>
      <c r="F408" s="27">
        <v>63853311</v>
      </c>
      <c r="G408" s="27">
        <v>16601860.859999999</v>
      </c>
      <c r="H408" s="27">
        <v>7636855.9955999991</v>
      </c>
      <c r="I408" s="44">
        <v>57801</v>
      </c>
      <c r="J408" s="25" t="s">
        <v>52</v>
      </c>
      <c r="K408" s="25" t="s">
        <v>56</v>
      </c>
      <c r="L408" s="25" t="s">
        <v>90</v>
      </c>
      <c r="M408" s="45">
        <f t="shared" ca="1" si="24"/>
        <v>128</v>
      </c>
      <c r="N408" s="34" t="str">
        <f t="shared" ca="1" si="25"/>
        <v>90+</v>
      </c>
      <c r="O408" s="34">
        <f t="shared" si="26"/>
        <v>0.45999999999999996</v>
      </c>
      <c r="P408" s="35">
        <f t="shared" si="27"/>
        <v>0.54</v>
      </c>
    </row>
    <row r="409" spans="4:16">
      <c r="D409" s="25" t="s">
        <v>1744</v>
      </c>
      <c r="E409" s="25" t="s">
        <v>1745</v>
      </c>
      <c r="F409" s="27">
        <v>137457293</v>
      </c>
      <c r="G409" s="27">
        <v>118213271.98</v>
      </c>
      <c r="H409" s="27">
        <v>24824787.115800001</v>
      </c>
      <c r="I409" s="44">
        <v>57831</v>
      </c>
      <c r="J409" s="25" t="s">
        <v>52</v>
      </c>
      <c r="K409" s="25" t="s">
        <v>94</v>
      </c>
      <c r="L409" s="25" t="s">
        <v>114</v>
      </c>
      <c r="M409" s="45">
        <f t="shared" ca="1" si="24"/>
        <v>234</v>
      </c>
      <c r="N409" s="34" t="str">
        <f t="shared" ca="1" si="25"/>
        <v>90+</v>
      </c>
      <c r="O409" s="34">
        <f t="shared" si="26"/>
        <v>0.21</v>
      </c>
      <c r="P409" s="35">
        <f t="shared" si="27"/>
        <v>0.79</v>
      </c>
    </row>
    <row r="410" spans="4:16">
      <c r="D410" s="25" t="s">
        <v>1746</v>
      </c>
      <c r="E410" s="25" t="s">
        <v>1747</v>
      </c>
      <c r="F410" s="27">
        <v>126448637</v>
      </c>
      <c r="G410" s="27">
        <v>37934591.100000001</v>
      </c>
      <c r="H410" s="27">
        <v>23898792.393000003</v>
      </c>
      <c r="I410" s="44">
        <v>57862</v>
      </c>
      <c r="J410" s="25" t="s">
        <v>52</v>
      </c>
      <c r="K410" s="25" t="s">
        <v>134</v>
      </c>
      <c r="L410" s="25" t="s">
        <v>121</v>
      </c>
      <c r="M410" s="45">
        <f t="shared" ca="1" si="24"/>
        <v>61</v>
      </c>
      <c r="N410" s="34" t="str">
        <f t="shared" ca="1" si="25"/>
        <v>61-90</v>
      </c>
      <c r="O410" s="34">
        <f t="shared" si="26"/>
        <v>0.63</v>
      </c>
      <c r="P410" s="35">
        <f t="shared" si="27"/>
        <v>0.37</v>
      </c>
    </row>
    <row r="411" spans="4:16">
      <c r="D411" s="25" t="s">
        <v>1748</v>
      </c>
      <c r="E411" s="25" t="s">
        <v>1749</v>
      </c>
      <c r="F411" s="27">
        <v>180983319</v>
      </c>
      <c r="G411" s="27">
        <v>179173485.81</v>
      </c>
      <c r="H411" s="27">
        <v>1791734.8581000001</v>
      </c>
      <c r="I411" s="44">
        <v>57892</v>
      </c>
      <c r="J411" s="25" t="s">
        <v>52</v>
      </c>
      <c r="K411" s="25" t="s">
        <v>89</v>
      </c>
      <c r="L411" s="25" t="s">
        <v>114</v>
      </c>
      <c r="M411" s="45">
        <f t="shared" ca="1" si="24"/>
        <v>181</v>
      </c>
      <c r="N411" s="34" t="str">
        <f t="shared" ca="1" si="25"/>
        <v>90+</v>
      </c>
      <c r="O411" s="34">
        <f t="shared" si="26"/>
        <v>0.01</v>
      </c>
      <c r="P411" s="35">
        <f t="shared" si="27"/>
        <v>0.99</v>
      </c>
    </row>
    <row r="412" spans="4:16">
      <c r="D412" s="25" t="s">
        <v>1750</v>
      </c>
      <c r="E412" s="25" t="s">
        <v>1751</v>
      </c>
      <c r="F412" s="27">
        <v>45076274</v>
      </c>
      <c r="G412" s="27">
        <v>8564492.0600000005</v>
      </c>
      <c r="H412" s="27">
        <v>4539180.7917999998</v>
      </c>
      <c r="I412" s="44">
        <v>57923</v>
      </c>
      <c r="J412" s="25" t="s">
        <v>52</v>
      </c>
      <c r="K412" s="25" t="s">
        <v>134</v>
      </c>
      <c r="L412" s="25" t="s">
        <v>110</v>
      </c>
      <c r="M412" s="45">
        <f t="shared" ca="1" si="24"/>
        <v>240</v>
      </c>
      <c r="N412" s="34" t="str">
        <f t="shared" ca="1" si="25"/>
        <v>90+</v>
      </c>
      <c r="O412" s="34">
        <f t="shared" si="26"/>
        <v>0.52999999999999992</v>
      </c>
      <c r="P412" s="35">
        <f t="shared" si="27"/>
        <v>0.47000000000000008</v>
      </c>
    </row>
    <row r="413" spans="4:16">
      <c r="D413" s="25" t="s">
        <v>1752</v>
      </c>
      <c r="E413" s="25" t="s">
        <v>1753</v>
      </c>
      <c r="F413" s="27">
        <v>131308135</v>
      </c>
      <c r="G413" s="27">
        <v>122116565.55</v>
      </c>
      <c r="H413" s="27">
        <v>36634969.664999999</v>
      </c>
      <c r="I413" s="44">
        <v>57954</v>
      </c>
      <c r="J413" s="25" t="s">
        <v>99</v>
      </c>
      <c r="K413" s="25" t="s">
        <v>125</v>
      </c>
      <c r="L413" s="25" t="s">
        <v>95</v>
      </c>
      <c r="M413" s="45">
        <f t="shared" ca="1" si="24"/>
        <v>108</v>
      </c>
      <c r="N413" s="34" t="str">
        <f t="shared" ca="1" si="25"/>
        <v>90+</v>
      </c>
      <c r="O413" s="34">
        <f t="shared" si="26"/>
        <v>0.3</v>
      </c>
      <c r="P413" s="35">
        <f t="shared" si="27"/>
        <v>0.7</v>
      </c>
    </row>
    <row r="414" spans="4:16">
      <c r="D414" s="25" t="s">
        <v>1754</v>
      </c>
      <c r="E414" s="25" t="s">
        <v>1755</v>
      </c>
      <c r="F414" s="27">
        <v>31640867</v>
      </c>
      <c r="G414" s="27">
        <v>14238390.15</v>
      </c>
      <c r="H414" s="27">
        <v>5695356.0599999996</v>
      </c>
      <c r="I414" s="44">
        <v>57984</v>
      </c>
      <c r="J414" s="25" t="s">
        <v>99</v>
      </c>
      <c r="K414" s="25" t="s">
        <v>125</v>
      </c>
      <c r="L414" s="25" t="s">
        <v>114</v>
      </c>
      <c r="M414" s="45">
        <f t="shared" ca="1" si="24"/>
        <v>110</v>
      </c>
      <c r="N414" s="34" t="str">
        <f t="shared" ca="1" si="25"/>
        <v>90+</v>
      </c>
      <c r="O414" s="34">
        <f t="shared" si="26"/>
        <v>0.39999999999999997</v>
      </c>
      <c r="P414" s="35">
        <f t="shared" si="27"/>
        <v>0.60000000000000009</v>
      </c>
    </row>
    <row r="415" spans="4:16">
      <c r="D415" s="25" t="s">
        <v>1756</v>
      </c>
      <c r="E415" s="25" t="s">
        <v>1757</v>
      </c>
      <c r="F415" s="27">
        <v>97629154</v>
      </c>
      <c r="G415" s="27">
        <v>40027953.140000001</v>
      </c>
      <c r="H415" s="27">
        <v>15610901.7246</v>
      </c>
      <c r="I415" s="44">
        <v>58015</v>
      </c>
      <c r="J415" s="25" t="s">
        <v>99</v>
      </c>
      <c r="K415" s="25" t="s">
        <v>134</v>
      </c>
      <c r="L415" s="25" t="s">
        <v>138</v>
      </c>
      <c r="M415" s="45">
        <f t="shared" ca="1" si="24"/>
        <v>72</v>
      </c>
      <c r="N415" s="34" t="str">
        <f t="shared" ca="1" si="25"/>
        <v>61-90</v>
      </c>
      <c r="O415" s="34">
        <f t="shared" si="26"/>
        <v>0.39</v>
      </c>
      <c r="P415" s="35">
        <f t="shared" si="27"/>
        <v>0.61</v>
      </c>
    </row>
    <row r="416" spans="4:16">
      <c r="D416" s="25" t="s">
        <v>1758</v>
      </c>
      <c r="E416" s="25" t="s">
        <v>1759</v>
      </c>
      <c r="F416" s="27">
        <v>120826494</v>
      </c>
      <c r="G416" s="27">
        <v>109952109.54000001</v>
      </c>
      <c r="H416" s="27">
        <v>34085153.957400002</v>
      </c>
      <c r="I416" s="44">
        <v>58045</v>
      </c>
      <c r="J416" s="25" t="s">
        <v>52</v>
      </c>
      <c r="K416" s="25" t="s">
        <v>125</v>
      </c>
      <c r="L416" s="25" t="s">
        <v>110</v>
      </c>
      <c r="M416" s="45">
        <f t="shared" ca="1" si="24"/>
        <v>317</v>
      </c>
      <c r="N416" s="34" t="str">
        <f t="shared" ca="1" si="25"/>
        <v>90+</v>
      </c>
      <c r="O416" s="34">
        <f t="shared" si="26"/>
        <v>0.31</v>
      </c>
      <c r="P416" s="35">
        <f t="shared" si="27"/>
        <v>0.69</v>
      </c>
    </row>
    <row r="417" spans="4:16">
      <c r="D417" s="25" t="s">
        <v>1760</v>
      </c>
      <c r="E417" s="25" t="s">
        <v>1761</v>
      </c>
      <c r="F417" s="27">
        <v>137883726</v>
      </c>
      <c r="G417" s="27">
        <v>53774653.140000001</v>
      </c>
      <c r="H417" s="27">
        <v>17745635.536200002</v>
      </c>
      <c r="I417" s="44">
        <v>58076</v>
      </c>
      <c r="J417" s="25" t="s">
        <v>133</v>
      </c>
      <c r="K417" s="25" t="s">
        <v>109</v>
      </c>
      <c r="L417" s="25" t="s">
        <v>121</v>
      </c>
      <c r="M417" s="45">
        <f t="shared" ca="1" si="24"/>
        <v>113</v>
      </c>
      <c r="N417" s="34" t="str">
        <f t="shared" ca="1" si="25"/>
        <v>90+</v>
      </c>
      <c r="O417" s="34">
        <f t="shared" si="26"/>
        <v>0.33</v>
      </c>
      <c r="P417" s="35">
        <f t="shared" si="27"/>
        <v>0.66999999999999993</v>
      </c>
    </row>
    <row r="418" spans="4:16">
      <c r="D418" s="25" t="s">
        <v>1762</v>
      </c>
      <c r="E418" s="25" t="s">
        <v>1763</v>
      </c>
      <c r="F418" s="27">
        <v>147224031</v>
      </c>
      <c r="G418" s="27">
        <v>145751790.69</v>
      </c>
      <c r="H418" s="27">
        <v>43725537.206999995</v>
      </c>
      <c r="I418" s="44">
        <v>58107</v>
      </c>
      <c r="J418" s="25" t="s">
        <v>133</v>
      </c>
      <c r="K418" s="25" t="s">
        <v>89</v>
      </c>
      <c r="L418" s="25" t="s">
        <v>95</v>
      </c>
      <c r="M418" s="45">
        <f t="shared" ca="1" si="24"/>
        <v>328</v>
      </c>
      <c r="N418" s="34" t="str">
        <f t="shared" ca="1" si="25"/>
        <v>90+</v>
      </c>
      <c r="O418" s="34">
        <f t="shared" si="26"/>
        <v>0.3</v>
      </c>
      <c r="P418" s="35">
        <f t="shared" si="27"/>
        <v>0.7</v>
      </c>
    </row>
    <row r="419" spans="4:16">
      <c r="D419" s="25" t="s">
        <v>1764</v>
      </c>
      <c r="E419" s="25" t="s">
        <v>1765</v>
      </c>
      <c r="F419" s="27">
        <v>152507646</v>
      </c>
      <c r="G419" s="27">
        <v>150982569.53999999</v>
      </c>
      <c r="H419" s="27">
        <v>27176862.517199997</v>
      </c>
      <c r="I419" s="44">
        <v>58135</v>
      </c>
      <c r="J419" s="25" t="s">
        <v>99</v>
      </c>
      <c r="K419" s="25" t="s">
        <v>125</v>
      </c>
      <c r="L419" s="25" t="s">
        <v>95</v>
      </c>
      <c r="M419" s="45">
        <f t="shared" ca="1" si="24"/>
        <v>233</v>
      </c>
      <c r="N419" s="34" t="str">
        <f t="shared" ca="1" si="25"/>
        <v>90+</v>
      </c>
      <c r="O419" s="34">
        <f t="shared" si="26"/>
        <v>0.18</v>
      </c>
      <c r="P419" s="35">
        <f t="shared" si="27"/>
        <v>0.82000000000000006</v>
      </c>
    </row>
    <row r="420" spans="4:16">
      <c r="D420" s="25" t="s">
        <v>1766</v>
      </c>
      <c r="E420" s="25" t="s">
        <v>1767</v>
      </c>
      <c r="F420" s="27">
        <v>55723006</v>
      </c>
      <c r="G420" s="27">
        <v>32876573.539999999</v>
      </c>
      <c r="H420" s="27">
        <v>13150629.415999999</v>
      </c>
      <c r="I420" s="44">
        <v>58166</v>
      </c>
      <c r="J420" s="25" t="s">
        <v>52</v>
      </c>
      <c r="K420" s="25" t="s">
        <v>89</v>
      </c>
      <c r="L420" s="25" t="s">
        <v>110</v>
      </c>
      <c r="M420" s="45">
        <f t="shared" ca="1" si="24"/>
        <v>198</v>
      </c>
      <c r="N420" s="34" t="str">
        <f t="shared" ca="1" si="25"/>
        <v>90+</v>
      </c>
      <c r="O420" s="34">
        <f t="shared" si="26"/>
        <v>0.39999999999999997</v>
      </c>
      <c r="P420" s="35">
        <f t="shared" si="27"/>
        <v>0.60000000000000009</v>
      </c>
    </row>
    <row r="421" spans="4:16">
      <c r="D421" s="25" t="s">
        <v>1768</v>
      </c>
      <c r="E421" s="25" t="s">
        <v>1769</v>
      </c>
      <c r="F421" s="27">
        <v>116327859</v>
      </c>
      <c r="G421" s="27">
        <v>100041958.73999999</v>
      </c>
      <c r="H421" s="27">
        <v>16006713.398399999</v>
      </c>
      <c r="I421" s="44">
        <v>58196</v>
      </c>
      <c r="J421" s="25" t="s">
        <v>99</v>
      </c>
      <c r="K421" s="25" t="s">
        <v>94</v>
      </c>
      <c r="L421" s="25" t="s">
        <v>121</v>
      </c>
      <c r="M421" s="45">
        <f t="shared" ca="1" si="24"/>
        <v>154</v>
      </c>
      <c r="N421" s="34" t="str">
        <f t="shared" ca="1" si="25"/>
        <v>90+</v>
      </c>
      <c r="O421" s="34">
        <f t="shared" si="26"/>
        <v>0.16</v>
      </c>
      <c r="P421" s="35">
        <f t="shared" si="27"/>
        <v>0.84</v>
      </c>
    </row>
    <row r="422" spans="4:16">
      <c r="D422" s="25" t="s">
        <v>1770</v>
      </c>
      <c r="E422" s="25" t="s">
        <v>1771</v>
      </c>
      <c r="F422" s="27">
        <v>131359397</v>
      </c>
      <c r="G422" s="27">
        <v>70934074.379999995</v>
      </c>
      <c r="H422" s="27">
        <v>34757696.446199998</v>
      </c>
      <c r="I422" s="44">
        <v>58227</v>
      </c>
      <c r="J422" s="25" t="s">
        <v>133</v>
      </c>
      <c r="K422" s="25" t="s">
        <v>109</v>
      </c>
      <c r="L422" s="25" t="s">
        <v>90</v>
      </c>
      <c r="M422" s="45">
        <f t="shared" ca="1" si="24"/>
        <v>358</v>
      </c>
      <c r="N422" s="34" t="str">
        <f t="shared" ca="1" si="25"/>
        <v>90+</v>
      </c>
      <c r="O422" s="34">
        <f t="shared" si="26"/>
        <v>0.49</v>
      </c>
      <c r="P422" s="35">
        <f t="shared" si="27"/>
        <v>0.51</v>
      </c>
    </row>
    <row r="423" spans="4:16">
      <c r="D423" s="25" t="s">
        <v>1772</v>
      </c>
      <c r="E423" s="25" t="s">
        <v>1773</v>
      </c>
      <c r="F423" s="27">
        <v>84007673</v>
      </c>
      <c r="G423" s="27">
        <v>17641611.329999998</v>
      </c>
      <c r="H423" s="27">
        <v>1940577.2463</v>
      </c>
      <c r="I423" s="44">
        <v>58257</v>
      </c>
      <c r="J423" s="25" t="s">
        <v>99</v>
      </c>
      <c r="K423" s="25" t="s">
        <v>94</v>
      </c>
      <c r="L423" s="25" t="s">
        <v>121</v>
      </c>
      <c r="M423" s="45">
        <f t="shared" ca="1" si="24"/>
        <v>157</v>
      </c>
      <c r="N423" s="34" t="str">
        <f t="shared" ca="1" si="25"/>
        <v>90+</v>
      </c>
      <c r="O423" s="34">
        <f t="shared" si="26"/>
        <v>0.11000000000000001</v>
      </c>
      <c r="P423" s="35">
        <f t="shared" si="27"/>
        <v>0.89</v>
      </c>
    </row>
    <row r="424" spans="4:16">
      <c r="D424" s="25" t="s">
        <v>1774</v>
      </c>
      <c r="E424" s="25" t="s">
        <v>1775</v>
      </c>
      <c r="F424" s="27">
        <v>146026689</v>
      </c>
      <c r="G424" s="27">
        <v>110980283.64</v>
      </c>
      <c r="H424" s="27">
        <v>6658817.0184000004</v>
      </c>
      <c r="I424" s="44">
        <v>58288</v>
      </c>
      <c r="J424" s="25" t="s">
        <v>52</v>
      </c>
      <c r="K424" s="25" t="s">
        <v>56</v>
      </c>
      <c r="L424" s="25" t="s">
        <v>95</v>
      </c>
      <c r="M424" s="45">
        <f t="shared" ca="1" si="24"/>
        <v>35</v>
      </c>
      <c r="N424" s="34" t="str">
        <f t="shared" ca="1" si="25"/>
        <v>31-60</v>
      </c>
      <c r="O424" s="34">
        <f t="shared" si="26"/>
        <v>6.0000000000000005E-2</v>
      </c>
      <c r="P424" s="35">
        <f t="shared" si="27"/>
        <v>0.94</v>
      </c>
    </row>
    <row r="425" spans="4:16">
      <c r="D425" s="25" t="s">
        <v>1776</v>
      </c>
      <c r="E425" s="25" t="s">
        <v>1777</v>
      </c>
      <c r="F425" s="27">
        <v>124704981</v>
      </c>
      <c r="G425" s="27">
        <v>57364291.259999998</v>
      </c>
      <c r="H425" s="27">
        <v>21224787.766199999</v>
      </c>
      <c r="I425" s="44">
        <v>58319</v>
      </c>
      <c r="J425" s="25" t="s">
        <v>52</v>
      </c>
      <c r="K425" s="25" t="s">
        <v>125</v>
      </c>
      <c r="L425" s="25" t="s">
        <v>114</v>
      </c>
      <c r="M425" s="45">
        <f t="shared" ca="1" si="24"/>
        <v>58</v>
      </c>
      <c r="N425" s="34" t="str">
        <f t="shared" ca="1" si="25"/>
        <v>31-60</v>
      </c>
      <c r="O425" s="34">
        <f t="shared" si="26"/>
        <v>0.37</v>
      </c>
      <c r="P425" s="35">
        <f t="shared" si="27"/>
        <v>0.63</v>
      </c>
    </row>
    <row r="426" spans="4:16">
      <c r="D426" s="25" t="s">
        <v>1778</v>
      </c>
      <c r="E426" s="25" t="s">
        <v>1779</v>
      </c>
      <c r="F426" s="27">
        <v>122028757</v>
      </c>
      <c r="G426" s="27">
        <v>104944731.02</v>
      </c>
      <c r="H426" s="27">
        <v>2098894.6203999999</v>
      </c>
      <c r="I426" s="44">
        <v>58349</v>
      </c>
      <c r="J426" s="25" t="s">
        <v>52</v>
      </c>
      <c r="K426" s="25" t="s">
        <v>89</v>
      </c>
      <c r="L426" s="25" t="s">
        <v>95</v>
      </c>
      <c r="M426" s="45">
        <f t="shared" ca="1" si="24"/>
        <v>277</v>
      </c>
      <c r="N426" s="34" t="str">
        <f t="shared" ca="1" si="25"/>
        <v>90+</v>
      </c>
      <c r="O426" s="34">
        <f t="shared" si="26"/>
        <v>0.02</v>
      </c>
      <c r="P426" s="35">
        <f t="shared" si="27"/>
        <v>0.98</v>
      </c>
    </row>
    <row r="427" spans="4:16">
      <c r="D427" s="25" t="s">
        <v>1780</v>
      </c>
      <c r="E427" s="25" t="s">
        <v>1781</v>
      </c>
      <c r="F427" s="27">
        <v>103740186</v>
      </c>
      <c r="G427" s="27">
        <v>14523626.039999999</v>
      </c>
      <c r="H427" s="27">
        <v>3921379.0307999998</v>
      </c>
      <c r="I427" s="44">
        <v>58380</v>
      </c>
      <c r="J427" s="25" t="s">
        <v>52</v>
      </c>
      <c r="K427" s="25" t="s">
        <v>94</v>
      </c>
      <c r="L427" s="25" t="s">
        <v>138</v>
      </c>
      <c r="M427" s="45">
        <f t="shared" ca="1" si="24"/>
        <v>180</v>
      </c>
      <c r="N427" s="34" t="str">
        <f t="shared" ca="1" si="25"/>
        <v>90+</v>
      </c>
      <c r="O427" s="34">
        <f t="shared" si="26"/>
        <v>0.27</v>
      </c>
      <c r="P427" s="35">
        <f t="shared" si="27"/>
        <v>0.73</v>
      </c>
    </row>
    <row r="428" spans="4:16">
      <c r="D428" s="25" t="s">
        <v>1782</v>
      </c>
      <c r="E428" s="25" t="s">
        <v>1783</v>
      </c>
      <c r="F428" s="27">
        <v>148564191</v>
      </c>
      <c r="G428" s="27">
        <v>95081082.239999995</v>
      </c>
      <c r="H428" s="27">
        <v>37081622.073599994</v>
      </c>
      <c r="I428" s="44">
        <v>58410</v>
      </c>
      <c r="J428" s="25" t="s">
        <v>52</v>
      </c>
      <c r="K428" s="25" t="s">
        <v>56</v>
      </c>
      <c r="L428" s="25" t="s">
        <v>138</v>
      </c>
      <c r="M428" s="45">
        <f t="shared" ca="1" si="24"/>
        <v>187</v>
      </c>
      <c r="N428" s="34" t="str">
        <f t="shared" ca="1" si="25"/>
        <v>90+</v>
      </c>
      <c r="O428" s="34">
        <f t="shared" si="26"/>
        <v>0.38999999999999996</v>
      </c>
      <c r="P428" s="35">
        <f t="shared" si="27"/>
        <v>0.6100000000000001</v>
      </c>
    </row>
    <row r="429" spans="4:16">
      <c r="D429" s="25" t="s">
        <v>1784</v>
      </c>
      <c r="E429" s="25" t="s">
        <v>1785</v>
      </c>
      <c r="F429" s="27">
        <v>171522199</v>
      </c>
      <c r="G429" s="27">
        <v>162946089.05000001</v>
      </c>
      <c r="H429" s="27">
        <v>3258921.7810000004</v>
      </c>
      <c r="I429" s="44">
        <v>58441</v>
      </c>
      <c r="J429" s="25" t="s">
        <v>99</v>
      </c>
      <c r="K429" s="25" t="s">
        <v>109</v>
      </c>
      <c r="L429" s="25" t="s">
        <v>114</v>
      </c>
      <c r="M429" s="45">
        <f t="shared" ca="1" si="24"/>
        <v>165</v>
      </c>
      <c r="N429" s="34" t="str">
        <f t="shared" ca="1" si="25"/>
        <v>90+</v>
      </c>
      <c r="O429" s="34">
        <f t="shared" si="26"/>
        <v>0.02</v>
      </c>
      <c r="P429" s="35">
        <f t="shared" si="27"/>
        <v>0.98</v>
      </c>
    </row>
    <row r="430" spans="4:16">
      <c r="D430" s="25" t="s">
        <v>1786</v>
      </c>
      <c r="E430" s="25" t="s">
        <v>1787</v>
      </c>
      <c r="F430" s="27">
        <v>12275822</v>
      </c>
      <c r="G430" s="27">
        <v>4910328.8</v>
      </c>
      <c r="H430" s="27">
        <v>1571305.216</v>
      </c>
      <c r="I430" s="44">
        <v>58472</v>
      </c>
      <c r="J430" s="25" t="s">
        <v>52</v>
      </c>
      <c r="K430" s="25" t="s">
        <v>56</v>
      </c>
      <c r="L430" s="25" t="s">
        <v>114</v>
      </c>
      <c r="M430" s="45">
        <f t="shared" ca="1" si="24"/>
        <v>205</v>
      </c>
      <c r="N430" s="34" t="str">
        <f t="shared" ca="1" si="25"/>
        <v>90+</v>
      </c>
      <c r="O430" s="34">
        <f t="shared" si="26"/>
        <v>0.32</v>
      </c>
      <c r="P430" s="35">
        <f t="shared" si="27"/>
        <v>0.67999999999999994</v>
      </c>
    </row>
    <row r="431" spans="4:16">
      <c r="D431" s="25" t="s">
        <v>1788</v>
      </c>
      <c r="E431" s="25" t="s">
        <v>1789</v>
      </c>
      <c r="F431" s="27">
        <v>80602152</v>
      </c>
      <c r="G431" s="27">
        <v>70929893.760000005</v>
      </c>
      <c r="H431" s="27">
        <v>11348783.001600001</v>
      </c>
      <c r="I431" s="44">
        <v>58501</v>
      </c>
      <c r="J431" s="25" t="s">
        <v>99</v>
      </c>
      <c r="K431" s="25" t="s">
        <v>89</v>
      </c>
      <c r="L431" s="25" t="s">
        <v>90</v>
      </c>
      <c r="M431" s="45">
        <f t="shared" ca="1" si="24"/>
        <v>85</v>
      </c>
      <c r="N431" s="34" t="str">
        <f t="shared" ca="1" si="25"/>
        <v>61-90</v>
      </c>
      <c r="O431" s="34">
        <f t="shared" si="26"/>
        <v>0.16</v>
      </c>
      <c r="P431" s="35">
        <f t="shared" si="27"/>
        <v>0.84</v>
      </c>
    </row>
    <row r="432" spans="4:16">
      <c r="D432" s="25" t="s">
        <v>1790</v>
      </c>
      <c r="E432" s="25" t="s">
        <v>1791</v>
      </c>
      <c r="F432" s="27">
        <v>99717464</v>
      </c>
      <c r="G432" s="27">
        <v>45870033.439999998</v>
      </c>
      <c r="H432" s="27">
        <v>5045703.6783999996</v>
      </c>
      <c r="I432" s="44">
        <v>58532</v>
      </c>
      <c r="J432" s="25" t="s">
        <v>52</v>
      </c>
      <c r="K432" s="25" t="s">
        <v>125</v>
      </c>
      <c r="L432" s="25" t="s">
        <v>110</v>
      </c>
      <c r="M432" s="45">
        <f t="shared" ca="1" si="24"/>
        <v>236</v>
      </c>
      <c r="N432" s="34" t="str">
        <f t="shared" ca="1" si="25"/>
        <v>90+</v>
      </c>
      <c r="O432" s="34">
        <f t="shared" si="26"/>
        <v>0.11</v>
      </c>
      <c r="P432" s="35">
        <f t="shared" si="27"/>
        <v>0.89</v>
      </c>
    </row>
    <row r="433" spans="4:16">
      <c r="D433" s="25" t="s">
        <v>1792</v>
      </c>
      <c r="E433" s="25" t="s">
        <v>1793</v>
      </c>
      <c r="F433" s="27">
        <v>53420069</v>
      </c>
      <c r="G433" s="27">
        <v>14423418.630000001</v>
      </c>
      <c r="H433" s="27">
        <v>4038557.2164000003</v>
      </c>
      <c r="I433" s="44">
        <v>58562</v>
      </c>
      <c r="J433" s="25" t="s">
        <v>133</v>
      </c>
      <c r="K433" s="25" t="s">
        <v>125</v>
      </c>
      <c r="L433" s="25" t="s">
        <v>110</v>
      </c>
      <c r="M433" s="45">
        <f t="shared" ca="1" si="24"/>
        <v>257</v>
      </c>
      <c r="N433" s="34" t="str">
        <f t="shared" ca="1" si="25"/>
        <v>90+</v>
      </c>
      <c r="O433" s="34">
        <f t="shared" si="26"/>
        <v>0.28000000000000003</v>
      </c>
      <c r="P433" s="35">
        <f t="shared" si="27"/>
        <v>0.72</v>
      </c>
    </row>
    <row r="434" spans="4:16">
      <c r="D434" s="25" t="s">
        <v>1794</v>
      </c>
      <c r="E434" s="25" t="s">
        <v>1795</v>
      </c>
      <c r="F434" s="27">
        <v>39625752</v>
      </c>
      <c r="G434" s="27">
        <v>35266919.280000001</v>
      </c>
      <c r="H434" s="27">
        <v>16222782.868800001</v>
      </c>
      <c r="I434" s="44">
        <v>58593</v>
      </c>
      <c r="J434" s="25" t="s">
        <v>52</v>
      </c>
      <c r="K434" s="25" t="s">
        <v>109</v>
      </c>
      <c r="L434" s="25" t="s">
        <v>95</v>
      </c>
      <c r="M434" s="45">
        <f t="shared" ca="1" si="24"/>
        <v>52</v>
      </c>
      <c r="N434" s="34" t="str">
        <f t="shared" ca="1" si="25"/>
        <v>31-60</v>
      </c>
      <c r="O434" s="34">
        <f t="shared" si="26"/>
        <v>0.46</v>
      </c>
      <c r="P434" s="35">
        <f t="shared" si="27"/>
        <v>0.54</v>
      </c>
    </row>
    <row r="435" spans="4:16">
      <c r="D435" s="25" t="s">
        <v>1796</v>
      </c>
      <c r="E435" s="25" t="s">
        <v>1797</v>
      </c>
      <c r="F435" s="27">
        <v>60040939</v>
      </c>
      <c r="G435" s="27">
        <v>40827838.520000003</v>
      </c>
      <c r="H435" s="27">
        <v>4491062.2372000003</v>
      </c>
      <c r="I435" s="44">
        <v>58623</v>
      </c>
      <c r="J435" s="25" t="s">
        <v>52</v>
      </c>
      <c r="K435" s="25" t="s">
        <v>89</v>
      </c>
      <c r="L435" s="25" t="s">
        <v>114</v>
      </c>
      <c r="M435" s="45">
        <f t="shared" ca="1" si="24"/>
        <v>80</v>
      </c>
      <c r="N435" s="34" t="str">
        <f t="shared" ca="1" si="25"/>
        <v>61-90</v>
      </c>
      <c r="O435" s="34">
        <f t="shared" si="26"/>
        <v>0.11</v>
      </c>
      <c r="P435" s="35">
        <f t="shared" si="27"/>
        <v>0.89</v>
      </c>
    </row>
    <row r="436" spans="4:16">
      <c r="D436" s="25" t="s">
        <v>1798</v>
      </c>
      <c r="E436" s="25" t="s">
        <v>1799</v>
      </c>
      <c r="F436" s="27">
        <v>115008532</v>
      </c>
      <c r="G436" s="27">
        <v>81656057.719999999</v>
      </c>
      <c r="H436" s="27">
        <v>40011468.282799996</v>
      </c>
      <c r="I436" s="44">
        <v>58654</v>
      </c>
      <c r="J436" s="25" t="s">
        <v>52</v>
      </c>
      <c r="K436" s="25" t="s">
        <v>125</v>
      </c>
      <c r="L436" s="25" t="s">
        <v>95</v>
      </c>
      <c r="M436" s="45">
        <f t="shared" ca="1" si="24"/>
        <v>302</v>
      </c>
      <c r="N436" s="34" t="str">
        <f t="shared" ca="1" si="25"/>
        <v>90+</v>
      </c>
      <c r="O436" s="34">
        <f t="shared" si="26"/>
        <v>0.49</v>
      </c>
      <c r="P436" s="35">
        <f t="shared" si="27"/>
        <v>0.51</v>
      </c>
    </row>
    <row r="437" spans="4:16">
      <c r="D437" s="25" t="s">
        <v>1800</v>
      </c>
      <c r="E437" s="25" t="s">
        <v>1801</v>
      </c>
      <c r="F437" s="27">
        <v>108851837</v>
      </c>
      <c r="G437" s="27">
        <v>42452216.43</v>
      </c>
      <c r="H437" s="27">
        <v>16131842.2434</v>
      </c>
      <c r="I437" s="44">
        <v>58685</v>
      </c>
      <c r="J437" s="25" t="s">
        <v>133</v>
      </c>
      <c r="K437" s="25" t="s">
        <v>94</v>
      </c>
      <c r="L437" s="25" t="s">
        <v>121</v>
      </c>
      <c r="M437" s="45">
        <f t="shared" ca="1" si="24"/>
        <v>104</v>
      </c>
      <c r="N437" s="34" t="str">
        <f t="shared" ca="1" si="25"/>
        <v>90+</v>
      </c>
      <c r="O437" s="34">
        <f t="shared" si="26"/>
        <v>0.38</v>
      </c>
      <c r="P437" s="35">
        <f t="shared" si="27"/>
        <v>0.62</v>
      </c>
    </row>
    <row r="438" spans="4:16">
      <c r="D438" s="25" t="s">
        <v>1802</v>
      </c>
      <c r="E438" s="25" t="s">
        <v>1803</v>
      </c>
      <c r="F438" s="27">
        <v>115320233</v>
      </c>
      <c r="G438" s="27">
        <v>20757641.940000001</v>
      </c>
      <c r="H438" s="27">
        <v>12247008.7446</v>
      </c>
      <c r="I438" s="44">
        <v>58715</v>
      </c>
      <c r="J438" s="25" t="s">
        <v>52</v>
      </c>
      <c r="K438" s="25" t="s">
        <v>125</v>
      </c>
      <c r="L438" s="25" t="s">
        <v>121</v>
      </c>
      <c r="M438" s="45">
        <f t="shared" ca="1" si="24"/>
        <v>89</v>
      </c>
      <c r="N438" s="34" t="str">
        <f t="shared" ca="1" si="25"/>
        <v>61-90</v>
      </c>
      <c r="O438" s="34">
        <f t="shared" si="26"/>
        <v>0.59</v>
      </c>
      <c r="P438" s="35">
        <f t="shared" si="27"/>
        <v>0.41000000000000003</v>
      </c>
    </row>
    <row r="439" spans="4:16">
      <c r="D439" s="25" t="s">
        <v>1804</v>
      </c>
      <c r="E439" s="25" t="s">
        <v>1805</v>
      </c>
      <c r="F439" s="27">
        <v>3991149</v>
      </c>
      <c r="G439" s="27">
        <v>2274954.9300000002</v>
      </c>
      <c r="H439" s="27">
        <v>1000980.1692</v>
      </c>
      <c r="I439" s="44">
        <v>58746</v>
      </c>
      <c r="J439" s="25" t="s">
        <v>52</v>
      </c>
      <c r="K439" s="25" t="s">
        <v>109</v>
      </c>
      <c r="L439" s="25" t="s">
        <v>121</v>
      </c>
      <c r="M439" s="45">
        <f t="shared" ca="1" si="24"/>
        <v>157</v>
      </c>
      <c r="N439" s="34" t="str">
        <f t="shared" ca="1" si="25"/>
        <v>90+</v>
      </c>
      <c r="O439" s="34">
        <f t="shared" si="26"/>
        <v>0.43999999999999995</v>
      </c>
      <c r="P439" s="35">
        <f t="shared" si="27"/>
        <v>0.56000000000000005</v>
      </c>
    </row>
  </sheetData>
  <autoFilter ref="D7:P439" xr:uid="{027B19B3-F698-453D-B8F1-C263D8A8390D}"/>
  <mergeCells count="1">
    <mergeCell ref="D3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A400-4345-44B2-BC23-92845988AF83}">
  <dimension ref="C9:L29"/>
  <sheetViews>
    <sheetView showGridLines="0" zoomScale="80" zoomScaleNormal="80" workbookViewId="0">
      <selection activeCell="J24" sqref="J24"/>
    </sheetView>
  </sheetViews>
  <sheetFormatPr defaultColWidth="9" defaultRowHeight="15"/>
  <cols>
    <col min="1" max="2" width="9" style="3"/>
    <col min="3" max="3" width="13" style="3" bestFit="1" customWidth="1"/>
    <col min="4" max="4" width="24.7109375" style="3" bestFit="1" customWidth="1"/>
    <col min="5" max="5" width="9" style="3"/>
    <col min="6" max="6" width="13.42578125" style="3" customWidth="1"/>
    <col min="7" max="7" width="24.7109375" style="3" bestFit="1" customWidth="1"/>
    <col min="8" max="9" width="9" style="3"/>
    <col min="10" max="10" width="15.5703125" style="3" customWidth="1"/>
    <col min="11" max="11" width="16.28515625" style="3" bestFit="1" customWidth="1"/>
    <col min="12" max="12" width="16.85546875" style="3" bestFit="1" customWidth="1"/>
    <col min="13" max="13" width="20" style="3" bestFit="1" customWidth="1"/>
    <col min="14" max="16384" width="9" style="3"/>
  </cols>
  <sheetData>
    <row r="9" spans="3:12">
      <c r="C9" s="3" t="s">
        <v>1806</v>
      </c>
    </row>
    <row r="11" spans="3:12">
      <c r="C11" s="3" t="s">
        <v>1807</v>
      </c>
    </row>
    <row r="13" spans="3:12">
      <c r="C13" s="3" t="s">
        <v>1808</v>
      </c>
    </row>
    <row r="15" spans="3:12" ht="24">
      <c r="C15" s="40" t="s">
        <v>1809</v>
      </c>
      <c r="J15" s="2" t="s">
        <v>891</v>
      </c>
      <c r="K15" s="2" t="s">
        <v>892</v>
      </c>
      <c r="L15" s="2" t="s">
        <v>1810</v>
      </c>
    </row>
    <row r="16" spans="3:12">
      <c r="J16" s="3" t="s">
        <v>894</v>
      </c>
      <c r="K16" s="47">
        <v>249206509</v>
      </c>
      <c r="L16" s="48">
        <f ca="1">IFERROR(AVERAGEIF('LGD Engine'!$N$8:$N$439,'LGD Analysis'!J16,'LGD Engine'!$P$8:$P$439),0)</f>
        <v>0</v>
      </c>
    </row>
    <row r="17" spans="3:12">
      <c r="J17" s="3" t="s">
        <v>895</v>
      </c>
      <c r="K17" s="47">
        <v>1895773951</v>
      </c>
      <c r="L17" s="48">
        <f ca="1">IFERROR(AVERAGEIF('LGD Engine'!$N$8:$N$439,'LGD Analysis'!J17,'LGD Engine'!$P$8:$P$439),0)</f>
        <v>0.65243243243243232</v>
      </c>
    </row>
    <row r="18" spans="3:12">
      <c r="C18" t="s">
        <v>1811</v>
      </c>
      <c r="J18" s="3" t="s">
        <v>896</v>
      </c>
      <c r="K18" s="47">
        <v>249973198</v>
      </c>
      <c r="L18" s="48">
        <f ca="1">IFERROR(AVERAGEIF('LGD Engine'!$N$8:$N$439,'LGD Analysis'!J18,'LGD Engine'!$P$8:$P$439),0)</f>
        <v>0.71961538461538455</v>
      </c>
    </row>
    <row r="19" spans="3:12">
      <c r="J19" s="3" t="s">
        <v>897</v>
      </c>
      <c r="K19" s="47">
        <v>1929080135</v>
      </c>
      <c r="L19" s="48">
        <f ca="1">IFERROR(AVERAGEIF('LGD Engine'!$N$8:$N$439,'LGD Analysis'!J19,'LGD Engine'!$P$8:$P$439),0)</f>
        <v>0.68034985422740502</v>
      </c>
    </row>
    <row r="20" spans="3:12" ht="24">
      <c r="C20" s="40" t="s">
        <v>1812</v>
      </c>
      <c r="J20" s="3" t="s">
        <v>899</v>
      </c>
      <c r="K20" s="47">
        <v>1910753232</v>
      </c>
      <c r="L20" s="48">
        <f ca="1">IFERROR(AVERAGEIF('LGD Engine'!$N$8:$N$439,'LGD Analysis'!J20,'LGD Engine'!$P$8:$P$439),0)</f>
        <v>0</v>
      </c>
    </row>
    <row r="21" spans="3:12">
      <c r="K21" s="47"/>
    </row>
    <row r="23" spans="3:12" ht="24">
      <c r="C23" s="40" t="s">
        <v>1813</v>
      </c>
      <c r="J23" s="3" t="s">
        <v>899</v>
      </c>
      <c r="K23" s="47">
        <v>1910753232</v>
      </c>
      <c r="L23" s="48">
        <f ca="1">IFERROR(AVERAGEIF('LGD Engine'!$N$8:$N$439,'LGD Analysis'!J23,'LGD Engine'!$P$8:$P$439),0)</f>
        <v>0</v>
      </c>
    </row>
    <row r="24" spans="3:12">
      <c r="C24"/>
      <c r="J24" s="3" t="s">
        <v>894</v>
      </c>
      <c r="K24" s="47">
        <v>249206509</v>
      </c>
      <c r="L24" s="48">
        <f ca="1">IFERROR(AVERAGEIF('LGD Engine'!$N$8:$N$439,'LGD Analysis'!J24,'LGD Engine'!$P$8:$P$439),0)</f>
        <v>0</v>
      </c>
    </row>
    <row r="25" spans="3:12">
      <c r="C25" t="s">
        <v>1814</v>
      </c>
      <c r="J25" s="3" t="s">
        <v>895</v>
      </c>
      <c r="K25" s="47">
        <v>1895773951</v>
      </c>
      <c r="L25" s="48">
        <f ca="1">IFERROR(AVERAGEIF('LGD Engine'!$N$8:$N$439,'LGD Analysis'!J25,'LGD Engine'!$P$8:$P$439),0)</f>
        <v>0.65243243243243232</v>
      </c>
    </row>
    <row r="26" spans="3:12">
      <c r="C26"/>
      <c r="J26" s="3" t="s">
        <v>896</v>
      </c>
      <c r="K26" s="47">
        <v>249973198</v>
      </c>
      <c r="L26" s="48">
        <f ca="1">IFERROR(AVERAGEIF('LGD Engine'!$N$8:$N$439,'LGD Analysis'!J26,'LGD Engine'!$P$8:$P$439),0)</f>
        <v>0.71961538461538455</v>
      </c>
    </row>
    <row r="27" spans="3:12">
      <c r="C27" t="s">
        <v>1815</v>
      </c>
      <c r="J27" s="3" t="s">
        <v>897</v>
      </c>
      <c r="K27" s="47">
        <v>1929080135</v>
      </c>
      <c r="L27" s="48">
        <f ca="1">IFERROR(AVERAGEIF('LGD Engine'!$N$8:$N$439,'LGD Analysis'!J27,'LGD Engine'!$P$8:$P$439),0)</f>
        <v>0.68034985422740502</v>
      </c>
    </row>
    <row r="28" spans="3:12">
      <c r="C28"/>
    </row>
    <row r="29" spans="3:12">
      <c r="C29" t="s">
        <v>1816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8722-0815-49BF-8E8B-4A8B090FA994}">
  <dimension ref="D3:P35"/>
  <sheetViews>
    <sheetView showGridLines="0" workbookViewId="0">
      <selection activeCell="H16" sqref="H16:P16"/>
    </sheetView>
  </sheetViews>
  <sheetFormatPr defaultColWidth="9" defaultRowHeight="15"/>
  <cols>
    <col min="1" max="3" width="2.42578125" style="3" customWidth="1"/>
    <col min="4" max="4" width="23.140625" style="3" customWidth="1"/>
    <col min="5" max="5" width="20.5703125" style="3" customWidth="1"/>
    <col min="6" max="6" width="19.7109375" style="3" customWidth="1"/>
    <col min="7" max="7" width="15.42578125" style="3" bestFit="1" customWidth="1"/>
    <col min="8" max="16384" width="9" style="3"/>
  </cols>
  <sheetData>
    <row r="3" spans="4:16">
      <c r="D3" s="81" t="s">
        <v>1817</v>
      </c>
      <c r="E3" s="82"/>
      <c r="F3" s="82"/>
      <c r="G3" s="82"/>
      <c r="H3" s="82"/>
      <c r="I3" s="82"/>
      <c r="J3" s="82"/>
      <c r="K3" s="82"/>
      <c r="L3" s="82"/>
      <c r="M3" s="83"/>
    </row>
    <row r="4" spans="4:16">
      <c r="D4" s="84"/>
      <c r="E4" s="85"/>
      <c r="F4" s="85"/>
      <c r="G4" s="85"/>
      <c r="H4" s="85"/>
      <c r="I4" s="85"/>
      <c r="J4" s="85"/>
      <c r="K4" s="85"/>
      <c r="L4" s="85"/>
      <c r="M4" s="86"/>
    </row>
    <row r="6" spans="4:16">
      <c r="D6" s="7" t="s">
        <v>1818</v>
      </c>
      <c r="E6" s="8"/>
      <c r="F6" s="8"/>
      <c r="G6" s="8"/>
      <c r="H6" s="8"/>
      <c r="I6" s="8"/>
      <c r="J6" s="8"/>
      <c r="K6" s="8"/>
      <c r="L6" s="8"/>
      <c r="M6" s="9"/>
    </row>
    <row r="7" spans="4:16" ht="51.75" customHeight="1">
      <c r="D7" s="87" t="s">
        <v>909</v>
      </c>
      <c r="E7" s="88"/>
      <c r="F7" s="88"/>
      <c r="G7" s="88"/>
      <c r="H7" s="88"/>
      <c r="I7" s="88"/>
      <c r="J7" s="88"/>
      <c r="K7" s="88"/>
      <c r="L7" s="88"/>
      <c r="M7" s="89"/>
    </row>
    <row r="10" spans="4:16">
      <c r="D10" s="7" t="s">
        <v>1819</v>
      </c>
      <c r="E10" s="8"/>
      <c r="F10" s="8"/>
      <c r="G10" s="8"/>
      <c r="H10" s="8"/>
      <c r="I10" s="8"/>
      <c r="J10" s="8"/>
      <c r="K10" s="8"/>
      <c r="L10" s="8"/>
      <c r="M10" s="9"/>
    </row>
    <row r="11" spans="4:16">
      <c r="D11" s="14" t="s">
        <v>1820</v>
      </c>
      <c r="E11" s="8"/>
      <c r="F11" s="8"/>
      <c r="G11" s="8"/>
      <c r="H11" s="8"/>
      <c r="I11" s="8"/>
      <c r="J11" s="8"/>
      <c r="K11" s="8"/>
      <c r="L11" s="8"/>
      <c r="M11" s="9"/>
    </row>
    <row r="12" spans="4:16">
      <c r="D12" s="13" t="s">
        <v>1821</v>
      </c>
    </row>
    <row r="13" spans="4:16">
      <c r="D13" s="13"/>
    </row>
    <row r="14" spans="4:16">
      <c r="D14" s="19" t="s">
        <v>21</v>
      </c>
      <c r="E14" s="20" t="s">
        <v>22</v>
      </c>
      <c r="F14" s="20" t="s">
        <v>24</v>
      </c>
    </row>
    <row r="15" spans="4:16">
      <c r="D15" s="21" t="s">
        <v>25</v>
      </c>
      <c r="E15" s="22" t="s">
        <v>1822</v>
      </c>
      <c r="F15" s="22" t="s">
        <v>53</v>
      </c>
    </row>
    <row r="16" spans="4:16">
      <c r="D16" s="21" t="s">
        <v>35</v>
      </c>
      <c r="E16" s="22" t="s">
        <v>36</v>
      </c>
      <c r="F16" s="22" t="s">
        <v>38</v>
      </c>
      <c r="H16" s="17" t="s">
        <v>25</v>
      </c>
      <c r="I16" s="17" t="s">
        <v>35</v>
      </c>
      <c r="J16" s="17" t="s">
        <v>914</v>
      </c>
      <c r="K16" s="18" t="s">
        <v>917</v>
      </c>
      <c r="L16" s="18" t="s">
        <v>924</v>
      </c>
      <c r="M16" s="18" t="s">
        <v>930</v>
      </c>
      <c r="N16" s="18" t="s">
        <v>76</v>
      </c>
      <c r="O16" s="18" t="s">
        <v>50</v>
      </c>
      <c r="P16" s="18" t="s">
        <v>54</v>
      </c>
    </row>
    <row r="17" spans="4:13">
      <c r="D17" s="21" t="s">
        <v>914</v>
      </c>
      <c r="E17" s="22" t="s">
        <v>892</v>
      </c>
      <c r="F17" s="24" t="s">
        <v>1823</v>
      </c>
    </row>
    <row r="18" spans="4:13">
      <c r="D18" s="22" t="s">
        <v>917</v>
      </c>
      <c r="E18" s="22" t="s">
        <v>1824</v>
      </c>
      <c r="F18" s="49" t="s">
        <v>1825</v>
      </c>
    </row>
    <row r="19" spans="4:13">
      <c r="D19" s="22" t="s">
        <v>924</v>
      </c>
      <c r="E19" s="22" t="s">
        <v>925</v>
      </c>
      <c r="F19" s="23" t="s">
        <v>926</v>
      </c>
    </row>
    <row r="20" spans="4:13">
      <c r="D20" s="22" t="s">
        <v>930</v>
      </c>
      <c r="E20" s="22" t="s">
        <v>931</v>
      </c>
      <c r="F20" s="24" t="s">
        <v>1826</v>
      </c>
    </row>
    <row r="21" spans="4:13">
      <c r="D21" s="22" t="s">
        <v>76</v>
      </c>
      <c r="E21" s="22" t="s">
        <v>1827</v>
      </c>
      <c r="F21" s="22" t="s">
        <v>1828</v>
      </c>
    </row>
    <row r="22" spans="4:13">
      <c r="D22" s="22" t="s">
        <v>50</v>
      </c>
      <c r="E22" s="22" t="s">
        <v>51</v>
      </c>
      <c r="F22" s="22" t="s">
        <v>927</v>
      </c>
    </row>
    <row r="23" spans="4:13">
      <c r="D23" s="22" t="s">
        <v>54</v>
      </c>
      <c r="E23" s="22" t="s">
        <v>1829</v>
      </c>
      <c r="F23" s="22" t="s">
        <v>927</v>
      </c>
    </row>
    <row r="26" spans="4:13">
      <c r="D26" s="14" t="s">
        <v>1830</v>
      </c>
      <c r="E26" s="8"/>
      <c r="F26" s="8"/>
      <c r="G26" s="8"/>
      <c r="H26" s="8"/>
      <c r="I26" s="8"/>
      <c r="J26" s="8"/>
      <c r="K26" s="8"/>
      <c r="L26" s="8"/>
      <c r="M26" s="9"/>
    </row>
    <row r="27" spans="4:13">
      <c r="D27" s="13" t="s">
        <v>1830</v>
      </c>
    </row>
    <row r="28" spans="4:13">
      <c r="D28" s="13"/>
    </row>
    <row r="29" spans="4:13">
      <c r="D29" s="19" t="s">
        <v>21</v>
      </c>
      <c r="E29" s="20" t="s">
        <v>22</v>
      </c>
      <c r="F29" s="20" t="s">
        <v>24</v>
      </c>
    </row>
    <row r="30" spans="4:13">
      <c r="D30" s="21" t="s">
        <v>1831</v>
      </c>
      <c r="E30" s="22" t="s">
        <v>1832</v>
      </c>
      <c r="F30" s="22" t="s">
        <v>1833</v>
      </c>
    </row>
    <row r="31" spans="4:13">
      <c r="D31" s="21" t="s">
        <v>899</v>
      </c>
      <c r="E31" s="22" t="s">
        <v>892</v>
      </c>
      <c r="F31" s="22" t="s">
        <v>1834</v>
      </c>
    </row>
    <row r="32" spans="4:13">
      <c r="D32" s="21" t="s">
        <v>1835</v>
      </c>
      <c r="E32" s="22" t="s">
        <v>892</v>
      </c>
      <c r="F32" s="24" t="s">
        <v>1834</v>
      </c>
    </row>
    <row r="33" spans="4:6">
      <c r="D33" s="22" t="s">
        <v>1836</v>
      </c>
      <c r="E33" s="22" t="s">
        <v>892</v>
      </c>
      <c r="F33" s="49" t="s">
        <v>1834</v>
      </c>
    </row>
    <row r="34" spans="4:6">
      <c r="D34" s="22" t="s">
        <v>1837</v>
      </c>
      <c r="E34" s="22" t="s">
        <v>892</v>
      </c>
      <c r="F34" s="23" t="s">
        <v>1834</v>
      </c>
    </row>
    <row r="35" spans="4:6">
      <c r="D35" s="22" t="s">
        <v>897</v>
      </c>
      <c r="E35" s="22" t="s">
        <v>892</v>
      </c>
      <c r="F35" s="24" t="s">
        <v>1834</v>
      </c>
    </row>
  </sheetData>
  <mergeCells count="2">
    <mergeCell ref="D3:M4"/>
    <mergeCell ref="D7:M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F2EF-0513-4302-8359-35B801E893EE}">
  <dimension ref="D3:O441"/>
  <sheetViews>
    <sheetView showGridLines="0" topLeftCell="A397" zoomScale="80" zoomScaleNormal="80" workbookViewId="0">
      <selection activeCell="E435" sqref="E435"/>
    </sheetView>
  </sheetViews>
  <sheetFormatPr defaultColWidth="9" defaultRowHeight="15"/>
  <cols>
    <col min="1" max="3" width="2.42578125" style="3" customWidth="1"/>
    <col min="4" max="10" width="20" style="3" customWidth="1"/>
    <col min="11" max="12" width="9" style="3"/>
    <col min="13" max="15" width="20.42578125" style="3" customWidth="1"/>
    <col min="16" max="16384" width="9" style="3"/>
  </cols>
  <sheetData>
    <row r="3" spans="4:15" ht="21" customHeight="1">
      <c r="D3" s="90" t="s">
        <v>940</v>
      </c>
      <c r="E3" s="91"/>
      <c r="F3" s="91"/>
      <c r="G3" s="91"/>
      <c r="H3" s="91"/>
      <c r="I3" s="55"/>
      <c r="J3" s="55"/>
    </row>
    <row r="4" spans="4:15" ht="21" customHeight="1">
      <c r="D4" s="92"/>
      <c r="E4" s="93"/>
      <c r="F4" s="93"/>
      <c r="G4" s="93"/>
      <c r="H4" s="93"/>
      <c r="I4" s="55"/>
      <c r="J4" s="55"/>
    </row>
    <row r="6" spans="4:15">
      <c r="D6" s="2"/>
    </row>
    <row r="7" spans="4:15">
      <c r="D7" s="28" t="s">
        <v>1838</v>
      </c>
      <c r="E7" s="29" t="s">
        <v>917</v>
      </c>
      <c r="F7" s="29" t="s">
        <v>76</v>
      </c>
      <c r="G7" s="29" t="s">
        <v>50</v>
      </c>
      <c r="H7" s="29" t="s">
        <v>54</v>
      </c>
      <c r="I7" s="56"/>
      <c r="J7" s="56"/>
      <c r="M7" s="25" t="s">
        <v>99</v>
      </c>
      <c r="N7" s="3" t="s">
        <v>52</v>
      </c>
      <c r="O7" s="3" t="s">
        <v>133</v>
      </c>
    </row>
    <row r="8" spans="4:15">
      <c r="D8" s="25" t="s">
        <v>1839</v>
      </c>
      <c r="E8" s="27">
        <v>83151804.286319986</v>
      </c>
      <c r="F8" s="25" t="s">
        <v>895</v>
      </c>
      <c r="G8" s="25" t="s">
        <v>52</v>
      </c>
      <c r="H8" s="25" t="s">
        <v>89</v>
      </c>
      <c r="I8" s="16"/>
      <c r="J8" s="16"/>
      <c r="L8" s="3" t="str" cm="1">
        <f t="array" ref="L8:L10">_xlfn.UNIQUE(F8:F441)</f>
        <v>31-60</v>
      </c>
      <c r="M8" s="47">
        <f t="shared" ref="M8:O10" si="0">SUMIFS($E$8:$E$441,$F$8:$F$441,$L8,$G$8:$G$441,M$7)</f>
        <v>645985942.97741604</v>
      </c>
      <c r="N8" s="47">
        <f t="shared" si="0"/>
        <v>812288695.5670079</v>
      </c>
      <c r="O8" s="47">
        <f t="shared" si="0"/>
        <v>2011633513.60988</v>
      </c>
    </row>
    <row r="9" spans="4:15">
      <c r="D9" s="25" t="s">
        <v>1840</v>
      </c>
      <c r="E9" s="27">
        <v>3877786.7835600004</v>
      </c>
      <c r="F9" s="25" t="s">
        <v>896</v>
      </c>
      <c r="G9" s="25" t="s">
        <v>52</v>
      </c>
      <c r="H9" s="25" t="s">
        <v>94</v>
      </c>
      <c r="I9" s="16"/>
      <c r="J9" s="16"/>
      <c r="L9" s="3" t="str">
        <v>61-90</v>
      </c>
      <c r="M9" s="47">
        <f t="shared" si="0"/>
        <v>246058826.29509598</v>
      </c>
      <c r="N9" s="47">
        <f t="shared" si="0"/>
        <v>743522701.19516397</v>
      </c>
      <c r="O9" s="47">
        <f t="shared" si="0"/>
        <v>1111007617.2166319</v>
      </c>
    </row>
    <row r="10" spans="4:15">
      <c r="D10" s="25" t="s">
        <v>1841</v>
      </c>
      <c r="E10" s="27">
        <v>152777565.84762001</v>
      </c>
      <c r="F10" s="25" t="s">
        <v>897</v>
      </c>
      <c r="G10" s="25" t="s">
        <v>99</v>
      </c>
      <c r="H10" s="25" t="s">
        <v>89</v>
      </c>
      <c r="I10" s="16"/>
      <c r="J10" s="16"/>
      <c r="L10" s="3" t="str">
        <v>90+</v>
      </c>
      <c r="M10" s="47">
        <f t="shared" si="0"/>
        <v>8181335470.0389585</v>
      </c>
      <c r="N10" s="47">
        <f t="shared" si="0"/>
        <v>13738673352.248091</v>
      </c>
      <c r="O10" s="47">
        <f t="shared" si="0"/>
        <v>2501130179.4149518</v>
      </c>
    </row>
    <row r="11" spans="4:15">
      <c r="D11" s="25" t="s">
        <v>1842</v>
      </c>
      <c r="E11" s="27">
        <v>4666691.6322480002</v>
      </c>
      <c r="F11" s="25" t="s">
        <v>895</v>
      </c>
      <c r="G11" s="25" t="s">
        <v>133</v>
      </c>
      <c r="H11" s="25" t="s">
        <v>94</v>
      </c>
      <c r="I11" s="16"/>
      <c r="J11" s="16"/>
    </row>
    <row r="12" spans="4:15">
      <c r="D12" s="25" t="s">
        <v>1843</v>
      </c>
      <c r="E12" s="27">
        <v>74002624.003199995</v>
      </c>
      <c r="F12" s="25" t="s">
        <v>896</v>
      </c>
      <c r="G12" s="25" t="s">
        <v>52</v>
      </c>
      <c r="H12" s="25" t="s">
        <v>89</v>
      </c>
      <c r="I12" s="16"/>
      <c r="J12" s="16"/>
    </row>
    <row r="13" spans="4:15">
      <c r="D13" s="25" t="s">
        <v>1844</v>
      </c>
      <c r="E13" s="27">
        <v>43352946.055859998</v>
      </c>
      <c r="F13" s="25" t="s">
        <v>897</v>
      </c>
      <c r="G13" s="25" t="s">
        <v>52</v>
      </c>
      <c r="H13" s="25" t="s">
        <v>109</v>
      </c>
      <c r="I13" s="16"/>
      <c r="J13" s="16"/>
    </row>
    <row r="14" spans="4:15">
      <c r="D14" s="25" t="s">
        <v>1845</v>
      </c>
      <c r="E14" s="27">
        <v>17545476.61152</v>
      </c>
      <c r="F14" s="25" t="s">
        <v>897</v>
      </c>
      <c r="G14" s="25" t="s">
        <v>52</v>
      </c>
      <c r="H14" s="25" t="s">
        <v>89</v>
      </c>
      <c r="I14" s="16"/>
      <c r="J14" s="16"/>
    </row>
    <row r="15" spans="4:15">
      <c r="D15" s="25" t="s">
        <v>1846</v>
      </c>
      <c r="E15" s="27">
        <v>1662358.3018559995</v>
      </c>
      <c r="F15" s="25" t="s">
        <v>897</v>
      </c>
      <c r="G15" s="25" t="s">
        <v>52</v>
      </c>
      <c r="H15" s="25" t="s">
        <v>89</v>
      </c>
      <c r="I15" s="16"/>
      <c r="J15" s="16"/>
    </row>
    <row r="16" spans="4:15">
      <c r="D16" s="25" t="s">
        <v>1847</v>
      </c>
      <c r="E16" s="27">
        <v>58689370.784208</v>
      </c>
      <c r="F16" s="25" t="s">
        <v>895</v>
      </c>
      <c r="G16" s="25" t="s">
        <v>52</v>
      </c>
      <c r="H16" s="25" t="s">
        <v>109</v>
      </c>
      <c r="I16" s="16"/>
      <c r="J16" s="16"/>
    </row>
    <row r="17" spans="4:10">
      <c r="D17" s="25" t="s">
        <v>1848</v>
      </c>
      <c r="E17" s="27">
        <v>70145232.062399998</v>
      </c>
      <c r="F17" s="25" t="s">
        <v>896</v>
      </c>
      <c r="G17" s="25" t="s">
        <v>52</v>
      </c>
      <c r="H17" s="25" t="s">
        <v>125</v>
      </c>
      <c r="I17" s="16"/>
      <c r="J17" s="16"/>
    </row>
    <row r="18" spans="4:10">
      <c r="D18" s="25" t="s">
        <v>1849</v>
      </c>
      <c r="E18" s="27">
        <v>500000000</v>
      </c>
      <c r="F18" s="25" t="s">
        <v>895</v>
      </c>
      <c r="G18" s="25" t="s">
        <v>99</v>
      </c>
      <c r="H18" s="25" t="s">
        <v>109</v>
      </c>
      <c r="I18" s="16"/>
      <c r="J18" s="16"/>
    </row>
    <row r="19" spans="4:10">
      <c r="D19" s="25" t="s">
        <v>1850</v>
      </c>
      <c r="E19" s="27">
        <v>37858690.142519996</v>
      </c>
      <c r="F19" s="25" t="s">
        <v>897</v>
      </c>
      <c r="G19" s="25" t="s">
        <v>99</v>
      </c>
      <c r="H19" s="25" t="s">
        <v>109</v>
      </c>
      <c r="I19" s="16"/>
      <c r="J19" s="16"/>
    </row>
    <row r="20" spans="4:10">
      <c r="D20" s="25" t="s">
        <v>1851</v>
      </c>
      <c r="E20" s="27">
        <v>8940952.4160000011</v>
      </c>
      <c r="F20" s="25" t="s">
        <v>897</v>
      </c>
      <c r="G20" s="25" t="s">
        <v>133</v>
      </c>
      <c r="H20" s="25" t="s">
        <v>134</v>
      </c>
      <c r="I20" s="16"/>
      <c r="J20" s="16"/>
    </row>
    <row r="21" spans="4:10">
      <c r="D21" s="25" t="s">
        <v>1852</v>
      </c>
      <c r="E21" s="27">
        <v>77343362.685599983</v>
      </c>
      <c r="F21" s="25" t="s">
        <v>897</v>
      </c>
      <c r="G21" s="25" t="s">
        <v>52</v>
      </c>
      <c r="H21" s="25" t="s">
        <v>109</v>
      </c>
      <c r="I21" s="16"/>
      <c r="J21" s="16"/>
    </row>
    <row r="22" spans="4:10">
      <c r="D22" s="25" t="s">
        <v>1853</v>
      </c>
      <c r="E22" s="27">
        <v>8940952.4160000011</v>
      </c>
      <c r="F22" s="25" t="s">
        <v>897</v>
      </c>
      <c r="G22" s="25" t="s">
        <v>99</v>
      </c>
      <c r="H22" s="25" t="s">
        <v>94</v>
      </c>
      <c r="I22" s="16"/>
      <c r="J22" s="16"/>
    </row>
    <row r="23" spans="4:10">
      <c r="D23" s="25" t="s">
        <v>1854</v>
      </c>
      <c r="E23" s="27">
        <v>8940952.4160000011</v>
      </c>
      <c r="F23" s="25" t="s">
        <v>897</v>
      </c>
      <c r="G23" s="25" t="s">
        <v>99</v>
      </c>
      <c r="H23" s="25" t="s">
        <v>125</v>
      </c>
      <c r="I23" s="16"/>
      <c r="J23" s="16"/>
    </row>
    <row r="24" spans="4:10">
      <c r="D24" s="25" t="s">
        <v>1855</v>
      </c>
      <c r="E24" s="27">
        <v>19889577.876419999</v>
      </c>
      <c r="F24" s="25" t="s">
        <v>895</v>
      </c>
      <c r="G24" s="25" t="s">
        <v>52</v>
      </c>
      <c r="H24" s="25" t="s">
        <v>125</v>
      </c>
      <c r="I24" s="16"/>
      <c r="J24" s="16"/>
    </row>
    <row r="25" spans="4:10">
      <c r="D25" s="25" t="s">
        <v>1856</v>
      </c>
      <c r="E25" s="27">
        <v>190986989.238864</v>
      </c>
      <c r="F25" s="25" t="s">
        <v>896</v>
      </c>
      <c r="G25" s="25" t="s">
        <v>99</v>
      </c>
      <c r="H25" s="25" t="s">
        <v>89</v>
      </c>
      <c r="I25" s="16"/>
      <c r="J25" s="16"/>
    </row>
    <row r="26" spans="4:10">
      <c r="D26" s="25" t="s">
        <v>1857</v>
      </c>
      <c r="E26" s="27">
        <v>2534026.5018000002</v>
      </c>
      <c r="F26" s="25" t="s">
        <v>897</v>
      </c>
      <c r="G26" s="25" t="s">
        <v>52</v>
      </c>
      <c r="H26" s="25" t="s">
        <v>134</v>
      </c>
      <c r="I26" s="16"/>
      <c r="J26" s="16"/>
    </row>
    <row r="27" spans="4:10">
      <c r="D27" s="25" t="s">
        <v>1858</v>
      </c>
      <c r="E27" s="27">
        <v>7761309.0010559987</v>
      </c>
      <c r="F27" s="25" t="s">
        <v>897</v>
      </c>
      <c r="G27" s="25" t="s">
        <v>99</v>
      </c>
      <c r="H27" s="25" t="s">
        <v>94</v>
      </c>
      <c r="I27" s="16"/>
      <c r="J27" s="16"/>
    </row>
    <row r="28" spans="4:10">
      <c r="D28" s="25" t="s">
        <v>1859</v>
      </c>
      <c r="E28" s="27">
        <v>21677319.242999997</v>
      </c>
      <c r="F28" s="25" t="s">
        <v>897</v>
      </c>
      <c r="G28" s="25" t="s">
        <v>133</v>
      </c>
      <c r="H28" s="25" t="s">
        <v>94</v>
      </c>
      <c r="I28" s="16"/>
      <c r="J28" s="16"/>
    </row>
    <row r="29" spans="4:10">
      <c r="D29" s="25" t="s">
        <v>1860</v>
      </c>
      <c r="E29" s="27">
        <v>15327334.585200001</v>
      </c>
      <c r="F29" s="25" t="s">
        <v>897</v>
      </c>
      <c r="G29" s="25" t="s">
        <v>133</v>
      </c>
      <c r="H29" s="25" t="s">
        <v>134</v>
      </c>
      <c r="I29" s="16"/>
      <c r="J29" s="16"/>
    </row>
    <row r="30" spans="4:10">
      <c r="D30" s="25" t="s">
        <v>1861</v>
      </c>
      <c r="E30" s="27">
        <v>34617634.681344002</v>
      </c>
      <c r="F30" s="25" t="s">
        <v>897</v>
      </c>
      <c r="G30" s="25" t="s">
        <v>52</v>
      </c>
      <c r="H30" s="25" t="s">
        <v>94</v>
      </c>
      <c r="I30" s="16"/>
      <c r="J30" s="16"/>
    </row>
    <row r="31" spans="4:10">
      <c r="D31" s="25" t="s">
        <v>1862</v>
      </c>
      <c r="E31" s="27">
        <v>122648176.84204799</v>
      </c>
      <c r="F31" s="25" t="s">
        <v>897</v>
      </c>
      <c r="G31" s="25" t="s">
        <v>52</v>
      </c>
      <c r="H31" s="25" t="s">
        <v>109</v>
      </c>
      <c r="I31" s="16"/>
      <c r="J31" s="16"/>
    </row>
    <row r="32" spans="4:10">
      <c r="D32" s="25" t="s">
        <v>1863</v>
      </c>
      <c r="E32" s="27">
        <v>104912987.23152</v>
      </c>
      <c r="F32" s="25" t="s">
        <v>895</v>
      </c>
      <c r="G32" s="25" t="s">
        <v>52</v>
      </c>
      <c r="H32" s="25" t="s">
        <v>56</v>
      </c>
      <c r="I32" s="16"/>
      <c r="J32" s="16"/>
    </row>
    <row r="33" spans="4:10">
      <c r="D33" s="25" t="s">
        <v>1864</v>
      </c>
      <c r="E33" s="27">
        <v>2109357.3968399996</v>
      </c>
      <c r="F33" s="25" t="s">
        <v>896</v>
      </c>
      <c r="G33" s="25" t="s">
        <v>52</v>
      </c>
      <c r="H33" s="25" t="s">
        <v>94</v>
      </c>
      <c r="I33" s="16"/>
      <c r="J33" s="16"/>
    </row>
    <row r="34" spans="4:10">
      <c r="D34" s="25" t="s">
        <v>1865</v>
      </c>
      <c r="E34" s="27">
        <v>56987893.594944</v>
      </c>
      <c r="F34" s="25" t="s">
        <v>897</v>
      </c>
      <c r="G34" s="25" t="s">
        <v>99</v>
      </c>
      <c r="H34" s="25" t="s">
        <v>89</v>
      </c>
      <c r="I34" s="16"/>
      <c r="J34" s="16"/>
    </row>
    <row r="35" spans="4:10">
      <c r="D35" s="25" t="s">
        <v>1866</v>
      </c>
      <c r="E35" s="27">
        <v>10589319.327743998</v>
      </c>
      <c r="F35" s="25" t="s">
        <v>897</v>
      </c>
      <c r="G35" s="25" t="s">
        <v>52</v>
      </c>
      <c r="H35" s="25" t="s">
        <v>109</v>
      </c>
      <c r="I35" s="16"/>
      <c r="J35" s="16"/>
    </row>
    <row r="36" spans="4:10">
      <c r="D36" s="25" t="s">
        <v>1867</v>
      </c>
      <c r="E36" s="27">
        <v>253512979.42140001</v>
      </c>
      <c r="F36" s="25" t="s">
        <v>897</v>
      </c>
      <c r="G36" s="25" t="s">
        <v>52</v>
      </c>
      <c r="H36" s="25" t="s">
        <v>56</v>
      </c>
      <c r="I36" s="16"/>
      <c r="J36" s="16"/>
    </row>
    <row r="37" spans="4:10">
      <c r="D37" s="25" t="s">
        <v>1868</v>
      </c>
      <c r="E37" s="27">
        <v>46595871.901152</v>
      </c>
      <c r="F37" s="25" t="s">
        <v>897</v>
      </c>
      <c r="G37" s="25" t="s">
        <v>52</v>
      </c>
      <c r="H37" s="25" t="s">
        <v>56</v>
      </c>
      <c r="I37" s="16"/>
      <c r="J37" s="16"/>
    </row>
    <row r="38" spans="4:10">
      <c r="D38" s="25" t="s">
        <v>1869</v>
      </c>
      <c r="E38" s="27">
        <v>7288155.0550079998</v>
      </c>
      <c r="F38" s="25" t="s">
        <v>897</v>
      </c>
      <c r="G38" s="25" t="s">
        <v>133</v>
      </c>
      <c r="H38" s="25" t="s">
        <v>89</v>
      </c>
      <c r="I38" s="16"/>
      <c r="J38" s="16"/>
    </row>
    <row r="39" spans="4:10">
      <c r="D39" s="25" t="s">
        <v>1870</v>
      </c>
      <c r="E39" s="27">
        <v>7994052.2766239997</v>
      </c>
      <c r="F39" s="25" t="s">
        <v>897</v>
      </c>
      <c r="G39" s="25" t="s">
        <v>133</v>
      </c>
      <c r="H39" s="25" t="s">
        <v>56</v>
      </c>
      <c r="I39" s="16"/>
      <c r="J39" s="16"/>
    </row>
    <row r="40" spans="4:10">
      <c r="D40" s="25" t="s">
        <v>1871</v>
      </c>
      <c r="E40" s="27">
        <v>65979904.665599987</v>
      </c>
      <c r="F40" s="25" t="s">
        <v>895</v>
      </c>
      <c r="G40" s="25" t="s">
        <v>99</v>
      </c>
      <c r="H40" s="25" t="s">
        <v>109</v>
      </c>
      <c r="I40" s="16"/>
      <c r="J40" s="16"/>
    </row>
    <row r="41" spans="4:10">
      <c r="D41" s="25" t="s">
        <v>1872</v>
      </c>
      <c r="E41" s="27">
        <v>93251679.714935988</v>
      </c>
      <c r="F41" s="25" t="s">
        <v>896</v>
      </c>
      <c r="G41" s="25" t="s">
        <v>52</v>
      </c>
      <c r="H41" s="25" t="s">
        <v>125</v>
      </c>
      <c r="I41" s="16"/>
      <c r="J41" s="16"/>
    </row>
    <row r="42" spans="4:10">
      <c r="D42" s="25" t="s">
        <v>1873</v>
      </c>
      <c r="E42" s="27">
        <v>28896488.147735998</v>
      </c>
      <c r="F42" s="25" t="s">
        <v>897</v>
      </c>
      <c r="G42" s="25" t="s">
        <v>99</v>
      </c>
      <c r="H42" s="25" t="s">
        <v>125</v>
      </c>
      <c r="I42" s="16"/>
      <c r="J42" s="16"/>
    </row>
    <row r="43" spans="4:10">
      <c r="D43" s="25" t="s">
        <v>1874</v>
      </c>
      <c r="E43" s="27">
        <v>47301805.243775994</v>
      </c>
      <c r="F43" s="25" t="s">
        <v>897</v>
      </c>
      <c r="G43" s="25" t="s">
        <v>52</v>
      </c>
      <c r="H43" s="25" t="s">
        <v>89</v>
      </c>
      <c r="I43" s="16"/>
      <c r="J43" s="16"/>
    </row>
    <row r="44" spans="4:10">
      <c r="D44" s="25" t="s">
        <v>1875</v>
      </c>
      <c r="E44" s="27">
        <v>12836450.844000001</v>
      </c>
      <c r="F44" s="25" t="s">
        <v>897</v>
      </c>
      <c r="G44" s="25" t="s">
        <v>52</v>
      </c>
      <c r="H44" s="25" t="s">
        <v>89</v>
      </c>
      <c r="I44" s="16"/>
      <c r="J44" s="16"/>
    </row>
    <row r="45" spans="4:10">
      <c r="D45" s="25" t="s">
        <v>1876</v>
      </c>
      <c r="E45" s="27">
        <v>174216732.28415996</v>
      </c>
      <c r="F45" s="25" t="s">
        <v>897</v>
      </c>
      <c r="G45" s="25" t="s">
        <v>52</v>
      </c>
      <c r="H45" s="25" t="s">
        <v>125</v>
      </c>
      <c r="I45" s="16"/>
      <c r="J45" s="16"/>
    </row>
    <row r="46" spans="4:10">
      <c r="D46" s="25" t="s">
        <v>1877</v>
      </c>
      <c r="E46" s="27">
        <v>47001434.912795991</v>
      </c>
      <c r="F46" s="25" t="s">
        <v>897</v>
      </c>
      <c r="G46" s="25" t="s">
        <v>99</v>
      </c>
      <c r="H46" s="25" t="s">
        <v>134</v>
      </c>
      <c r="I46" s="16"/>
      <c r="J46" s="16"/>
    </row>
    <row r="47" spans="4:10">
      <c r="D47" s="25" t="s">
        <v>1878</v>
      </c>
      <c r="E47" s="27">
        <v>76036700.358503997</v>
      </c>
      <c r="F47" s="25" t="s">
        <v>897</v>
      </c>
      <c r="G47" s="25" t="s">
        <v>99</v>
      </c>
      <c r="H47" s="25" t="s">
        <v>56</v>
      </c>
      <c r="I47" s="16"/>
      <c r="J47" s="16"/>
    </row>
    <row r="48" spans="4:10">
      <c r="D48" s="25" t="s">
        <v>1879</v>
      </c>
      <c r="E48" s="27">
        <v>157130178.08699998</v>
      </c>
      <c r="F48" s="25" t="s">
        <v>895</v>
      </c>
      <c r="G48" s="25" t="s">
        <v>52</v>
      </c>
      <c r="H48" s="25" t="s">
        <v>125</v>
      </c>
      <c r="I48" s="16"/>
      <c r="J48" s="16"/>
    </row>
    <row r="49" spans="4:10">
      <c r="D49" s="25" t="s">
        <v>1880</v>
      </c>
      <c r="E49" s="27">
        <v>19569446.646623999</v>
      </c>
      <c r="F49" s="25" t="s">
        <v>896</v>
      </c>
      <c r="G49" s="25" t="s">
        <v>99</v>
      </c>
      <c r="H49" s="25" t="s">
        <v>94</v>
      </c>
      <c r="I49" s="16"/>
      <c r="J49" s="16"/>
    </row>
    <row r="50" spans="4:10">
      <c r="D50" s="25" t="s">
        <v>1881</v>
      </c>
      <c r="E50" s="27">
        <v>169529160.19986001</v>
      </c>
      <c r="F50" s="25" t="s">
        <v>897</v>
      </c>
      <c r="G50" s="25" t="s">
        <v>99</v>
      </c>
      <c r="H50" s="25" t="s">
        <v>134</v>
      </c>
      <c r="I50" s="16"/>
      <c r="J50" s="16"/>
    </row>
    <row r="51" spans="4:10">
      <c r="D51" s="25" t="s">
        <v>1882</v>
      </c>
      <c r="E51" s="27">
        <v>16870397.104799997</v>
      </c>
      <c r="F51" s="25" t="s">
        <v>897</v>
      </c>
      <c r="G51" s="25" t="s">
        <v>52</v>
      </c>
      <c r="H51" s="25" t="s">
        <v>125</v>
      </c>
      <c r="I51" s="16"/>
      <c r="J51" s="16"/>
    </row>
    <row r="52" spans="4:10">
      <c r="D52" s="25" t="s">
        <v>1883</v>
      </c>
      <c r="E52" s="27">
        <v>3099075.4193279999</v>
      </c>
      <c r="F52" s="25" t="s">
        <v>897</v>
      </c>
      <c r="G52" s="25" t="s">
        <v>52</v>
      </c>
      <c r="H52" s="25" t="s">
        <v>56</v>
      </c>
      <c r="I52" s="16"/>
      <c r="J52" s="16"/>
    </row>
    <row r="53" spans="4:10">
      <c r="D53" s="25" t="s">
        <v>1884</v>
      </c>
      <c r="E53" s="27">
        <v>17782225.103999998</v>
      </c>
      <c r="F53" s="25" t="s">
        <v>897</v>
      </c>
      <c r="G53" s="25" t="s">
        <v>99</v>
      </c>
      <c r="H53" s="25" t="s">
        <v>94</v>
      </c>
      <c r="I53" s="16"/>
      <c r="J53" s="16"/>
    </row>
    <row r="54" spans="4:10">
      <c r="D54" s="25" t="s">
        <v>1885</v>
      </c>
      <c r="E54" s="27">
        <v>28449464.794019997</v>
      </c>
      <c r="F54" s="25" t="s">
        <v>897</v>
      </c>
      <c r="G54" s="25" t="s">
        <v>52</v>
      </c>
      <c r="H54" s="25" t="s">
        <v>56</v>
      </c>
      <c r="I54" s="16"/>
      <c r="J54" s="16"/>
    </row>
    <row r="55" spans="4:10">
      <c r="D55" s="25" t="s">
        <v>1886</v>
      </c>
      <c r="E55" s="27">
        <v>3177321.6992640002</v>
      </c>
      <c r="F55" s="25" t="s">
        <v>897</v>
      </c>
      <c r="G55" s="25" t="s">
        <v>52</v>
      </c>
      <c r="H55" s="25" t="s">
        <v>56</v>
      </c>
      <c r="I55" s="16"/>
      <c r="J55" s="16"/>
    </row>
    <row r="56" spans="4:10">
      <c r="D56" s="25" t="s">
        <v>1887</v>
      </c>
      <c r="E56" s="27">
        <v>8770561.1481599994</v>
      </c>
      <c r="F56" s="25" t="s">
        <v>895</v>
      </c>
      <c r="G56" s="25" t="s">
        <v>52</v>
      </c>
      <c r="H56" s="25" t="s">
        <v>94</v>
      </c>
      <c r="I56" s="16"/>
      <c r="J56" s="16"/>
    </row>
    <row r="57" spans="4:10">
      <c r="D57" s="25" t="s">
        <v>1888</v>
      </c>
      <c r="E57" s="27">
        <v>35502390.409607992</v>
      </c>
      <c r="F57" s="25" t="s">
        <v>896</v>
      </c>
      <c r="G57" s="25" t="s">
        <v>99</v>
      </c>
      <c r="H57" s="25" t="s">
        <v>94</v>
      </c>
      <c r="I57" s="16"/>
      <c r="J57" s="16"/>
    </row>
    <row r="58" spans="4:10">
      <c r="D58" s="25" t="s">
        <v>1889</v>
      </c>
      <c r="E58" s="27">
        <v>19870122.847679995</v>
      </c>
      <c r="F58" s="25" t="s">
        <v>897</v>
      </c>
      <c r="G58" s="25" t="s">
        <v>99</v>
      </c>
      <c r="H58" s="25" t="s">
        <v>109</v>
      </c>
      <c r="I58" s="16"/>
      <c r="J58" s="16"/>
    </row>
    <row r="59" spans="4:10">
      <c r="D59" s="25" t="s">
        <v>1890</v>
      </c>
      <c r="E59" s="27">
        <v>165475286.68127999</v>
      </c>
      <c r="F59" s="25" t="s">
        <v>897</v>
      </c>
      <c r="G59" s="25" t="s">
        <v>52</v>
      </c>
      <c r="H59" s="25" t="s">
        <v>134</v>
      </c>
      <c r="I59" s="16"/>
      <c r="J59" s="16"/>
    </row>
    <row r="60" spans="4:10">
      <c r="D60" s="25" t="s">
        <v>1891</v>
      </c>
      <c r="E60" s="27">
        <v>32580348.092159998</v>
      </c>
      <c r="F60" s="25" t="s">
        <v>897</v>
      </c>
      <c r="G60" s="25" t="s">
        <v>52</v>
      </c>
      <c r="H60" s="25" t="s">
        <v>89</v>
      </c>
      <c r="I60" s="16"/>
      <c r="J60" s="16"/>
    </row>
    <row r="61" spans="4:10">
      <c r="D61" s="25" t="s">
        <v>1892</v>
      </c>
      <c r="E61" s="27">
        <v>18568947.103199996</v>
      </c>
      <c r="F61" s="25" t="s">
        <v>897</v>
      </c>
      <c r="G61" s="25" t="s">
        <v>52</v>
      </c>
      <c r="H61" s="25" t="s">
        <v>56</v>
      </c>
      <c r="I61" s="16"/>
      <c r="J61" s="16"/>
    </row>
    <row r="62" spans="4:10">
      <c r="D62" s="25" t="s">
        <v>1893</v>
      </c>
      <c r="E62" s="27">
        <v>8770160.8889999986</v>
      </c>
      <c r="F62" s="25" t="s">
        <v>897</v>
      </c>
      <c r="G62" s="25" t="s">
        <v>52</v>
      </c>
      <c r="H62" s="25" t="s">
        <v>125</v>
      </c>
      <c r="I62" s="16"/>
      <c r="J62" s="16"/>
    </row>
    <row r="63" spans="4:10">
      <c r="D63" s="25" t="s">
        <v>1894</v>
      </c>
      <c r="E63" s="27">
        <v>23556249.9432</v>
      </c>
      <c r="F63" s="25" t="s">
        <v>897</v>
      </c>
      <c r="G63" s="25" t="s">
        <v>52</v>
      </c>
      <c r="H63" s="25" t="s">
        <v>125</v>
      </c>
      <c r="I63" s="16"/>
      <c r="J63" s="16"/>
    </row>
    <row r="64" spans="4:10">
      <c r="D64" s="25" t="s">
        <v>1895</v>
      </c>
      <c r="E64" s="27">
        <v>21649000.910039995</v>
      </c>
      <c r="F64" s="25" t="s">
        <v>895</v>
      </c>
      <c r="G64" s="25" t="s">
        <v>99</v>
      </c>
      <c r="H64" s="25" t="s">
        <v>56</v>
      </c>
      <c r="I64" s="16"/>
      <c r="J64" s="16"/>
    </row>
    <row r="65" spans="4:10">
      <c r="D65" s="25" t="s">
        <v>1896</v>
      </c>
      <c r="E65" s="27">
        <v>13723480.391039997</v>
      </c>
      <c r="F65" s="25" t="s">
        <v>896</v>
      </c>
      <c r="G65" s="25" t="s">
        <v>52</v>
      </c>
      <c r="H65" s="25" t="s">
        <v>89</v>
      </c>
      <c r="I65" s="16"/>
      <c r="J65" s="16"/>
    </row>
    <row r="66" spans="4:10">
      <c r="D66" s="25" t="s">
        <v>1897</v>
      </c>
      <c r="E66" s="27">
        <v>140033963.50031996</v>
      </c>
      <c r="F66" s="25" t="s">
        <v>897</v>
      </c>
      <c r="G66" s="25" t="s">
        <v>52</v>
      </c>
      <c r="H66" s="25" t="s">
        <v>125</v>
      </c>
      <c r="I66" s="16"/>
      <c r="J66" s="16"/>
    </row>
    <row r="67" spans="4:10">
      <c r="D67" s="25" t="s">
        <v>1898</v>
      </c>
      <c r="E67" s="27">
        <v>108797085.59155202</v>
      </c>
      <c r="F67" s="25" t="s">
        <v>897</v>
      </c>
      <c r="G67" s="25" t="s">
        <v>52</v>
      </c>
      <c r="H67" s="25" t="s">
        <v>109</v>
      </c>
      <c r="I67" s="16"/>
      <c r="J67" s="16"/>
    </row>
    <row r="68" spans="4:10">
      <c r="D68" s="25" t="s">
        <v>1899</v>
      </c>
      <c r="E68" s="27">
        <v>19872184.872960001</v>
      </c>
      <c r="F68" s="25" t="s">
        <v>897</v>
      </c>
      <c r="G68" s="25" t="s">
        <v>99</v>
      </c>
      <c r="H68" s="25" t="s">
        <v>125</v>
      </c>
      <c r="I68" s="16"/>
      <c r="J68" s="16"/>
    </row>
    <row r="69" spans="4:10">
      <c r="D69" s="25" t="s">
        <v>1900</v>
      </c>
      <c r="E69" s="27">
        <v>20493800.179199997</v>
      </c>
      <c r="F69" s="25" t="s">
        <v>897</v>
      </c>
      <c r="G69" s="25" t="s">
        <v>52</v>
      </c>
      <c r="H69" s="25" t="s">
        <v>125</v>
      </c>
      <c r="I69" s="16"/>
      <c r="J69" s="16"/>
    </row>
    <row r="70" spans="4:10">
      <c r="D70" s="25" t="s">
        <v>1901</v>
      </c>
      <c r="E70" s="27">
        <v>23155441.964928001</v>
      </c>
      <c r="F70" s="25" t="s">
        <v>897</v>
      </c>
      <c r="G70" s="25" t="s">
        <v>52</v>
      </c>
      <c r="H70" s="25" t="s">
        <v>134</v>
      </c>
      <c r="I70" s="16"/>
      <c r="J70" s="16"/>
    </row>
    <row r="71" spans="4:10">
      <c r="D71" s="25" t="s">
        <v>1902</v>
      </c>
      <c r="E71" s="27">
        <v>270032305.52642393</v>
      </c>
      <c r="F71" s="25" t="s">
        <v>897</v>
      </c>
      <c r="G71" s="25" t="s">
        <v>52</v>
      </c>
      <c r="H71" s="25" t="s">
        <v>109</v>
      </c>
      <c r="I71" s="16"/>
      <c r="J71" s="16"/>
    </row>
    <row r="72" spans="4:10">
      <c r="D72" s="25" t="s">
        <v>1903</v>
      </c>
      <c r="E72" s="27">
        <v>4769240.1170400009</v>
      </c>
      <c r="F72" s="25" t="s">
        <v>895</v>
      </c>
      <c r="G72" s="25" t="s">
        <v>99</v>
      </c>
      <c r="H72" s="25" t="s">
        <v>89</v>
      </c>
      <c r="I72" s="16"/>
      <c r="J72" s="16"/>
    </row>
    <row r="73" spans="4:10">
      <c r="D73" s="25" t="s">
        <v>1904</v>
      </c>
      <c r="E73" s="27">
        <v>86864811.88319999</v>
      </c>
      <c r="F73" s="25" t="s">
        <v>896</v>
      </c>
      <c r="G73" s="25" t="s">
        <v>52</v>
      </c>
      <c r="H73" s="25" t="s">
        <v>89</v>
      </c>
      <c r="I73" s="16"/>
      <c r="J73" s="16"/>
    </row>
    <row r="74" spans="4:10">
      <c r="D74" s="25" t="s">
        <v>1905</v>
      </c>
      <c r="E74" s="27">
        <v>34568664.149879992</v>
      </c>
      <c r="F74" s="25" t="s">
        <v>897</v>
      </c>
      <c r="G74" s="25" t="s">
        <v>99</v>
      </c>
      <c r="H74" s="25" t="s">
        <v>125</v>
      </c>
      <c r="I74" s="16"/>
      <c r="J74" s="16"/>
    </row>
    <row r="75" spans="4:10">
      <c r="D75" s="25" t="s">
        <v>1906</v>
      </c>
      <c r="E75" s="27">
        <v>23136359.633400001</v>
      </c>
      <c r="F75" s="25" t="s">
        <v>897</v>
      </c>
      <c r="G75" s="25" t="s">
        <v>99</v>
      </c>
      <c r="H75" s="25" t="s">
        <v>125</v>
      </c>
      <c r="I75" s="16"/>
      <c r="J75" s="16"/>
    </row>
    <row r="76" spans="4:10">
      <c r="D76" s="25" t="s">
        <v>1907</v>
      </c>
      <c r="E76" s="27">
        <v>4573094.7636360005</v>
      </c>
      <c r="F76" s="25" t="s">
        <v>897</v>
      </c>
      <c r="G76" s="25" t="s">
        <v>52</v>
      </c>
      <c r="H76" s="25" t="s">
        <v>56</v>
      </c>
      <c r="I76" s="16"/>
      <c r="J76" s="16"/>
    </row>
    <row r="77" spans="4:10">
      <c r="D77" s="25" t="s">
        <v>1908</v>
      </c>
      <c r="E77" s="27">
        <v>65751636.732672006</v>
      </c>
      <c r="F77" s="25" t="s">
        <v>897</v>
      </c>
      <c r="G77" s="25" t="s">
        <v>52</v>
      </c>
      <c r="H77" s="25" t="s">
        <v>89</v>
      </c>
      <c r="I77" s="16"/>
      <c r="J77" s="16"/>
    </row>
    <row r="78" spans="4:10">
      <c r="D78" s="25" t="s">
        <v>1909</v>
      </c>
      <c r="E78" s="27">
        <v>4180986.8887199992</v>
      </c>
      <c r="F78" s="25" t="s">
        <v>897</v>
      </c>
      <c r="G78" s="25" t="s">
        <v>52</v>
      </c>
      <c r="H78" s="25" t="s">
        <v>56</v>
      </c>
      <c r="I78" s="16"/>
      <c r="J78" s="16"/>
    </row>
    <row r="79" spans="4:10">
      <c r="D79" s="25" t="s">
        <v>1910</v>
      </c>
      <c r="E79" s="27">
        <v>15920727.937775999</v>
      </c>
      <c r="F79" s="25" t="s">
        <v>897</v>
      </c>
      <c r="G79" s="25" t="s">
        <v>52</v>
      </c>
      <c r="H79" s="25" t="s">
        <v>94</v>
      </c>
      <c r="I79" s="16"/>
      <c r="J79" s="16"/>
    </row>
    <row r="80" spans="4:10">
      <c r="D80" s="25" t="s">
        <v>1911</v>
      </c>
      <c r="E80" s="27">
        <v>336981636.17999995</v>
      </c>
      <c r="F80" s="25" t="s">
        <v>895</v>
      </c>
      <c r="G80" s="25" t="s">
        <v>52</v>
      </c>
      <c r="H80" s="25" t="s">
        <v>56</v>
      </c>
      <c r="I80" s="16"/>
      <c r="J80" s="16"/>
    </row>
    <row r="81" spans="4:10">
      <c r="D81" s="25" t="s">
        <v>1912</v>
      </c>
      <c r="E81" s="27">
        <v>108430811.27669999</v>
      </c>
      <c r="F81" s="25" t="s">
        <v>896</v>
      </c>
      <c r="G81" s="25" t="s">
        <v>52</v>
      </c>
      <c r="H81" s="25" t="s">
        <v>89</v>
      </c>
      <c r="I81" s="16"/>
      <c r="J81" s="16"/>
    </row>
    <row r="82" spans="4:10">
      <c r="D82" s="25" t="s">
        <v>1913</v>
      </c>
      <c r="E82" s="27">
        <v>77008621.725024</v>
      </c>
      <c r="F82" s="25" t="s">
        <v>897</v>
      </c>
      <c r="G82" s="25" t="s">
        <v>52</v>
      </c>
      <c r="H82" s="25" t="s">
        <v>89</v>
      </c>
      <c r="I82" s="16"/>
      <c r="J82" s="16"/>
    </row>
    <row r="83" spans="4:10">
      <c r="D83" s="25" t="s">
        <v>1914</v>
      </c>
      <c r="E83" s="27">
        <v>6955608.4181760009</v>
      </c>
      <c r="F83" s="25" t="s">
        <v>897</v>
      </c>
      <c r="G83" s="25" t="s">
        <v>99</v>
      </c>
      <c r="H83" s="25" t="s">
        <v>134</v>
      </c>
      <c r="I83" s="16"/>
      <c r="J83" s="16"/>
    </row>
    <row r="84" spans="4:10">
      <c r="D84" s="25" t="s">
        <v>1915</v>
      </c>
      <c r="E84" s="27">
        <v>5085804.4728119997</v>
      </c>
      <c r="F84" s="25" t="s">
        <v>897</v>
      </c>
      <c r="G84" s="25" t="s">
        <v>99</v>
      </c>
      <c r="H84" s="25" t="s">
        <v>94</v>
      </c>
      <c r="I84" s="16"/>
      <c r="J84" s="16"/>
    </row>
    <row r="85" spans="4:10">
      <c r="D85" s="25" t="s">
        <v>1916</v>
      </c>
      <c r="E85" s="27">
        <v>96030604.349999994</v>
      </c>
      <c r="F85" s="25" t="s">
        <v>897</v>
      </c>
      <c r="G85" s="25" t="s">
        <v>52</v>
      </c>
      <c r="H85" s="25" t="s">
        <v>125</v>
      </c>
      <c r="I85" s="16"/>
      <c r="J85" s="16"/>
    </row>
    <row r="86" spans="4:10">
      <c r="D86" s="25" t="s">
        <v>1917</v>
      </c>
      <c r="E86" s="27">
        <v>90640982.867904007</v>
      </c>
      <c r="F86" s="25" t="s">
        <v>897</v>
      </c>
      <c r="G86" s="25" t="s">
        <v>52</v>
      </c>
      <c r="H86" s="25" t="s">
        <v>89</v>
      </c>
      <c r="I86" s="16"/>
      <c r="J86" s="16"/>
    </row>
    <row r="87" spans="4:10">
      <c r="D87" s="25" t="s">
        <v>1918</v>
      </c>
      <c r="E87" s="27">
        <v>3198280.7620799998</v>
      </c>
      <c r="F87" s="25" t="s">
        <v>897</v>
      </c>
      <c r="G87" s="25" t="s">
        <v>99</v>
      </c>
      <c r="H87" s="25" t="s">
        <v>56</v>
      </c>
      <c r="I87" s="16"/>
      <c r="J87" s="16"/>
    </row>
    <row r="88" spans="4:10">
      <c r="D88" s="25" t="s">
        <v>1919</v>
      </c>
      <c r="E88" s="27">
        <v>42762579.973379999</v>
      </c>
      <c r="F88" s="25" t="s">
        <v>895</v>
      </c>
      <c r="G88" s="25" t="s">
        <v>52</v>
      </c>
      <c r="H88" s="25" t="s">
        <v>56</v>
      </c>
      <c r="I88" s="16"/>
      <c r="J88" s="16"/>
    </row>
    <row r="89" spans="4:10">
      <c r="D89" s="25" t="s">
        <v>1920</v>
      </c>
      <c r="E89" s="27">
        <v>272219167.30060798</v>
      </c>
      <c r="F89" s="25" t="s">
        <v>896</v>
      </c>
      <c r="G89" s="25" t="s">
        <v>52</v>
      </c>
      <c r="H89" s="25" t="s">
        <v>56</v>
      </c>
      <c r="I89" s="16"/>
      <c r="J89" s="16"/>
    </row>
    <row r="90" spans="4:10">
      <c r="D90" s="25" t="s">
        <v>1921</v>
      </c>
      <c r="E90" s="27">
        <v>1946155.8959999997</v>
      </c>
      <c r="F90" s="25" t="s">
        <v>897</v>
      </c>
      <c r="G90" s="25" t="s">
        <v>133</v>
      </c>
      <c r="H90" s="25" t="s">
        <v>125</v>
      </c>
      <c r="I90" s="16"/>
      <c r="J90" s="16"/>
    </row>
    <row r="91" spans="4:10">
      <c r="D91" s="25" t="s">
        <v>1922</v>
      </c>
      <c r="E91" s="27">
        <v>34153624.413719997</v>
      </c>
      <c r="F91" s="25" t="s">
        <v>897</v>
      </c>
      <c r="G91" s="25" t="s">
        <v>52</v>
      </c>
      <c r="H91" s="25" t="s">
        <v>134</v>
      </c>
      <c r="I91" s="16"/>
      <c r="J91" s="16"/>
    </row>
    <row r="92" spans="4:10">
      <c r="D92" s="25" t="s">
        <v>1923</v>
      </c>
      <c r="E92" s="27">
        <v>171559010.66831997</v>
      </c>
      <c r="F92" s="25" t="s">
        <v>897</v>
      </c>
      <c r="G92" s="25" t="s">
        <v>52</v>
      </c>
      <c r="H92" s="25" t="s">
        <v>109</v>
      </c>
      <c r="I92" s="16"/>
      <c r="J92" s="16"/>
    </row>
    <row r="93" spans="4:10">
      <c r="D93" s="25" t="s">
        <v>1924</v>
      </c>
      <c r="E93" s="27">
        <v>19200485.921759997</v>
      </c>
      <c r="F93" s="25" t="s">
        <v>897</v>
      </c>
      <c r="G93" s="25" t="s">
        <v>99</v>
      </c>
      <c r="H93" s="25" t="s">
        <v>94</v>
      </c>
      <c r="I93" s="16"/>
      <c r="J93" s="16"/>
    </row>
    <row r="94" spans="4:10">
      <c r="D94" s="25" t="s">
        <v>1925</v>
      </c>
      <c r="E94" s="27">
        <v>11093324.264447998</v>
      </c>
      <c r="F94" s="25" t="s">
        <v>897</v>
      </c>
      <c r="G94" s="25" t="s">
        <v>52</v>
      </c>
      <c r="H94" s="25" t="s">
        <v>109</v>
      </c>
      <c r="I94" s="16"/>
      <c r="J94" s="16"/>
    </row>
    <row r="95" spans="4:10">
      <c r="D95" s="25" t="s">
        <v>1926</v>
      </c>
      <c r="E95" s="27">
        <v>13722449.612256002</v>
      </c>
      <c r="F95" s="25" t="s">
        <v>897</v>
      </c>
      <c r="G95" s="25" t="s">
        <v>52</v>
      </c>
      <c r="H95" s="25" t="s">
        <v>56</v>
      </c>
      <c r="I95" s="16"/>
      <c r="J95" s="16"/>
    </row>
    <row r="96" spans="4:10">
      <c r="D96" s="25" t="s">
        <v>1927</v>
      </c>
      <c r="E96" s="27">
        <v>53587797.284735993</v>
      </c>
      <c r="F96" s="25" t="s">
        <v>895</v>
      </c>
      <c r="G96" s="25" t="s">
        <v>99</v>
      </c>
      <c r="H96" s="25" t="s">
        <v>125</v>
      </c>
      <c r="I96" s="16"/>
      <c r="J96" s="16"/>
    </row>
    <row r="97" spans="4:10">
      <c r="D97" s="25" t="s">
        <v>1928</v>
      </c>
      <c r="E97" s="27">
        <v>18897750.382679999</v>
      </c>
      <c r="F97" s="25" t="s">
        <v>896</v>
      </c>
      <c r="G97" s="25" t="s">
        <v>52</v>
      </c>
      <c r="H97" s="25" t="s">
        <v>125</v>
      </c>
      <c r="I97" s="16"/>
      <c r="J97" s="16"/>
    </row>
    <row r="98" spans="4:10">
      <c r="D98" s="25" t="s">
        <v>1929</v>
      </c>
      <c r="E98" s="27">
        <v>2854055.6085599996</v>
      </c>
      <c r="F98" s="25" t="s">
        <v>897</v>
      </c>
      <c r="G98" s="25" t="s">
        <v>99</v>
      </c>
      <c r="H98" s="25" t="s">
        <v>134</v>
      </c>
      <c r="I98" s="16"/>
      <c r="J98" s="16"/>
    </row>
    <row r="99" spans="4:10">
      <c r="D99" s="25" t="s">
        <v>1930</v>
      </c>
      <c r="E99" s="27">
        <v>1583138.0047199996</v>
      </c>
      <c r="F99" s="25" t="s">
        <v>897</v>
      </c>
      <c r="G99" s="25" t="s">
        <v>99</v>
      </c>
      <c r="H99" s="25" t="s">
        <v>109</v>
      </c>
      <c r="I99" s="16"/>
      <c r="J99" s="16"/>
    </row>
    <row r="100" spans="4:10">
      <c r="D100" s="25" t="s">
        <v>1931</v>
      </c>
      <c r="E100" s="27">
        <v>40633405.902719997</v>
      </c>
      <c r="F100" s="25" t="s">
        <v>897</v>
      </c>
      <c r="G100" s="25" t="s">
        <v>99</v>
      </c>
      <c r="H100" s="25" t="s">
        <v>134</v>
      </c>
      <c r="I100" s="16"/>
      <c r="J100" s="16"/>
    </row>
    <row r="101" spans="4:10">
      <c r="D101" s="25" t="s">
        <v>1932</v>
      </c>
      <c r="E101" s="27">
        <v>83528979.687252</v>
      </c>
      <c r="F101" s="25" t="s">
        <v>897</v>
      </c>
      <c r="G101" s="25" t="s">
        <v>52</v>
      </c>
      <c r="H101" s="25" t="s">
        <v>134</v>
      </c>
      <c r="I101" s="16"/>
      <c r="J101" s="16"/>
    </row>
    <row r="102" spans="4:10">
      <c r="D102" s="25" t="s">
        <v>1933</v>
      </c>
      <c r="E102" s="27">
        <v>7170067.8422999997</v>
      </c>
      <c r="F102" s="25" t="s">
        <v>897</v>
      </c>
      <c r="G102" s="25" t="s">
        <v>52</v>
      </c>
      <c r="H102" s="25" t="s">
        <v>125</v>
      </c>
      <c r="I102" s="16"/>
      <c r="J102" s="16"/>
    </row>
    <row r="103" spans="4:10">
      <c r="D103" s="25" t="s">
        <v>1934</v>
      </c>
      <c r="E103" s="27">
        <v>37475742.069215998</v>
      </c>
      <c r="F103" s="25" t="s">
        <v>897</v>
      </c>
      <c r="G103" s="25" t="s">
        <v>52</v>
      </c>
      <c r="H103" s="25" t="s">
        <v>89</v>
      </c>
      <c r="I103" s="16"/>
      <c r="J103" s="16"/>
    </row>
    <row r="104" spans="4:10">
      <c r="D104" s="25" t="s">
        <v>1935</v>
      </c>
      <c r="E104" s="27">
        <v>75124855.287467986</v>
      </c>
      <c r="F104" s="25" t="s">
        <v>897</v>
      </c>
      <c r="G104" s="25" t="s">
        <v>52</v>
      </c>
      <c r="H104" s="25" t="s">
        <v>125</v>
      </c>
      <c r="I104" s="16"/>
      <c r="J104" s="16"/>
    </row>
    <row r="105" spans="4:10">
      <c r="D105" s="25" t="s">
        <v>1936</v>
      </c>
      <c r="E105" s="27">
        <v>108737057.385144</v>
      </c>
      <c r="F105" s="25" t="s">
        <v>897</v>
      </c>
      <c r="G105" s="25" t="s">
        <v>99</v>
      </c>
      <c r="H105" s="25" t="s">
        <v>109</v>
      </c>
      <c r="I105" s="16"/>
      <c r="J105" s="16"/>
    </row>
    <row r="106" spans="4:10">
      <c r="D106" s="25" t="s">
        <v>1937</v>
      </c>
      <c r="E106" s="27">
        <v>148354107.84479997</v>
      </c>
      <c r="F106" s="25" t="s">
        <v>897</v>
      </c>
      <c r="G106" s="25" t="s">
        <v>99</v>
      </c>
      <c r="H106" s="25" t="s">
        <v>89</v>
      </c>
      <c r="I106" s="16"/>
      <c r="J106" s="16"/>
    </row>
    <row r="107" spans="4:10">
      <c r="D107" s="25" t="s">
        <v>1938</v>
      </c>
      <c r="E107" s="27">
        <v>69722188.348511994</v>
      </c>
      <c r="F107" s="25" t="s">
        <v>897</v>
      </c>
      <c r="G107" s="25" t="s">
        <v>99</v>
      </c>
      <c r="H107" s="25" t="s">
        <v>109</v>
      </c>
      <c r="I107" s="16"/>
      <c r="J107" s="16"/>
    </row>
    <row r="108" spans="4:10">
      <c r="D108" s="25" t="s">
        <v>1939</v>
      </c>
      <c r="E108" s="27">
        <v>30728225.512799993</v>
      </c>
      <c r="F108" s="25" t="s">
        <v>897</v>
      </c>
      <c r="G108" s="25" t="s">
        <v>52</v>
      </c>
      <c r="H108" s="25" t="s">
        <v>94</v>
      </c>
      <c r="I108" s="16"/>
      <c r="J108" s="16"/>
    </row>
    <row r="109" spans="4:10">
      <c r="D109" s="25" t="s">
        <v>1940</v>
      </c>
      <c r="E109" s="27">
        <v>55891003.824143998</v>
      </c>
      <c r="F109" s="25" t="s">
        <v>897</v>
      </c>
      <c r="G109" s="25" t="s">
        <v>99</v>
      </c>
      <c r="H109" s="25" t="s">
        <v>125</v>
      </c>
      <c r="I109" s="16"/>
      <c r="J109" s="16"/>
    </row>
    <row r="110" spans="4:10">
      <c r="D110" s="25" t="s">
        <v>1941</v>
      </c>
      <c r="E110" s="27">
        <v>28550549.637791999</v>
      </c>
      <c r="F110" s="25" t="s">
        <v>897</v>
      </c>
      <c r="G110" s="25" t="s">
        <v>52</v>
      </c>
      <c r="H110" s="25" t="s">
        <v>134</v>
      </c>
      <c r="I110" s="16"/>
      <c r="J110" s="16"/>
    </row>
    <row r="111" spans="4:10">
      <c r="D111" s="25" t="s">
        <v>1942</v>
      </c>
      <c r="E111" s="27">
        <v>141335144.89631999</v>
      </c>
      <c r="F111" s="25" t="s">
        <v>897</v>
      </c>
      <c r="G111" s="25" t="s">
        <v>99</v>
      </c>
      <c r="H111" s="25" t="s">
        <v>125</v>
      </c>
      <c r="I111" s="16"/>
      <c r="J111" s="16"/>
    </row>
    <row r="112" spans="4:10">
      <c r="D112" s="25" t="s">
        <v>1943</v>
      </c>
      <c r="E112" s="27">
        <v>20944228.366656002</v>
      </c>
      <c r="F112" s="25" t="s">
        <v>897</v>
      </c>
      <c r="G112" s="25" t="s">
        <v>99</v>
      </c>
      <c r="H112" s="25" t="s">
        <v>134</v>
      </c>
      <c r="I112" s="16"/>
      <c r="J112" s="16"/>
    </row>
    <row r="113" spans="4:10">
      <c r="D113" s="25" t="s">
        <v>1944</v>
      </c>
      <c r="E113" s="27">
        <v>31993310.770272002</v>
      </c>
      <c r="F113" s="25" t="s">
        <v>897</v>
      </c>
      <c r="G113" s="25" t="s">
        <v>52</v>
      </c>
      <c r="H113" s="25" t="s">
        <v>56</v>
      </c>
      <c r="I113" s="16"/>
      <c r="J113" s="16"/>
    </row>
    <row r="114" spans="4:10">
      <c r="D114" s="25" t="s">
        <v>1945</v>
      </c>
      <c r="E114" s="27">
        <v>43964609.371199995</v>
      </c>
      <c r="F114" s="25" t="s">
        <v>897</v>
      </c>
      <c r="G114" s="25" t="s">
        <v>52</v>
      </c>
      <c r="H114" s="25" t="s">
        <v>89</v>
      </c>
      <c r="I114" s="16"/>
      <c r="J114" s="16"/>
    </row>
    <row r="115" spans="4:10">
      <c r="D115" s="25" t="s">
        <v>1946</v>
      </c>
      <c r="E115" s="27">
        <v>111523645.76390398</v>
      </c>
      <c r="F115" s="25" t="s">
        <v>897</v>
      </c>
      <c r="G115" s="25" t="s">
        <v>52</v>
      </c>
      <c r="H115" s="25" t="s">
        <v>94</v>
      </c>
      <c r="I115" s="16"/>
      <c r="J115" s="16"/>
    </row>
    <row r="116" spans="4:10">
      <c r="D116" s="25" t="s">
        <v>1947</v>
      </c>
      <c r="E116" s="27">
        <v>22206647.809799999</v>
      </c>
      <c r="F116" s="25" t="s">
        <v>897</v>
      </c>
      <c r="G116" s="25" t="s">
        <v>52</v>
      </c>
      <c r="H116" s="25" t="s">
        <v>125</v>
      </c>
      <c r="I116" s="16"/>
      <c r="J116" s="16"/>
    </row>
    <row r="117" spans="4:10">
      <c r="D117" s="25" t="s">
        <v>1948</v>
      </c>
      <c r="E117" s="27">
        <v>742038.78249599994</v>
      </c>
      <c r="F117" s="25" t="s">
        <v>897</v>
      </c>
      <c r="G117" s="25" t="s">
        <v>99</v>
      </c>
      <c r="H117" s="25" t="s">
        <v>94</v>
      </c>
      <c r="I117" s="16"/>
      <c r="J117" s="16"/>
    </row>
    <row r="118" spans="4:10">
      <c r="D118" s="25" t="s">
        <v>1949</v>
      </c>
      <c r="E118" s="27">
        <v>32597681.704895999</v>
      </c>
      <c r="F118" s="25" t="s">
        <v>897</v>
      </c>
      <c r="G118" s="25" t="s">
        <v>52</v>
      </c>
      <c r="H118" s="25" t="s">
        <v>125</v>
      </c>
      <c r="I118" s="16"/>
      <c r="J118" s="16"/>
    </row>
    <row r="119" spans="4:10">
      <c r="D119" s="25" t="s">
        <v>1950</v>
      </c>
      <c r="E119" s="27">
        <v>183786103.42310402</v>
      </c>
      <c r="F119" s="25" t="s">
        <v>897</v>
      </c>
      <c r="G119" s="25" t="s">
        <v>99</v>
      </c>
      <c r="H119" s="25" t="s">
        <v>134</v>
      </c>
      <c r="I119" s="16"/>
      <c r="J119" s="16"/>
    </row>
    <row r="120" spans="4:10">
      <c r="D120" s="25" t="s">
        <v>1951</v>
      </c>
      <c r="E120" s="27">
        <v>22653430.272</v>
      </c>
      <c r="F120" s="25" t="s">
        <v>897</v>
      </c>
      <c r="G120" s="25" t="s">
        <v>52</v>
      </c>
      <c r="H120" s="25" t="s">
        <v>56</v>
      </c>
      <c r="I120" s="16"/>
      <c r="J120" s="16"/>
    </row>
    <row r="121" spans="4:10">
      <c r="D121" s="25" t="s">
        <v>1952</v>
      </c>
      <c r="E121" s="27">
        <v>157672824.3876</v>
      </c>
      <c r="F121" s="25" t="s">
        <v>897</v>
      </c>
      <c r="G121" s="25" t="s">
        <v>99</v>
      </c>
      <c r="H121" s="25" t="s">
        <v>94</v>
      </c>
      <c r="I121" s="16"/>
      <c r="J121" s="16"/>
    </row>
    <row r="122" spans="4:10">
      <c r="D122" s="25" t="s">
        <v>1953</v>
      </c>
      <c r="E122" s="27">
        <v>9673242.5189399999</v>
      </c>
      <c r="F122" s="25" t="s">
        <v>897</v>
      </c>
      <c r="G122" s="25" t="s">
        <v>52</v>
      </c>
      <c r="H122" s="25" t="s">
        <v>134</v>
      </c>
      <c r="I122" s="16"/>
      <c r="J122" s="16"/>
    </row>
    <row r="123" spans="4:10">
      <c r="D123" s="25" t="s">
        <v>1954</v>
      </c>
      <c r="E123" s="27">
        <v>1910951.6532839998</v>
      </c>
      <c r="F123" s="25" t="s">
        <v>897</v>
      </c>
      <c r="G123" s="25" t="s">
        <v>133</v>
      </c>
      <c r="H123" s="25" t="s">
        <v>134</v>
      </c>
      <c r="I123" s="16"/>
      <c r="J123" s="16"/>
    </row>
    <row r="124" spans="4:10">
      <c r="D124" s="25" t="s">
        <v>1955</v>
      </c>
      <c r="E124" s="27">
        <v>66480886.199880004</v>
      </c>
      <c r="F124" s="25" t="s">
        <v>897</v>
      </c>
      <c r="G124" s="25" t="s">
        <v>52</v>
      </c>
      <c r="H124" s="25" t="s">
        <v>125</v>
      </c>
      <c r="I124" s="16"/>
      <c r="J124" s="16"/>
    </row>
    <row r="125" spans="4:10">
      <c r="D125" s="25" t="s">
        <v>1956</v>
      </c>
      <c r="E125" s="27">
        <v>97464507.596543998</v>
      </c>
      <c r="F125" s="25" t="s">
        <v>897</v>
      </c>
      <c r="G125" s="25" t="s">
        <v>52</v>
      </c>
      <c r="H125" s="25" t="s">
        <v>134</v>
      </c>
      <c r="I125" s="16"/>
      <c r="J125" s="16"/>
    </row>
    <row r="126" spans="4:10">
      <c r="D126" s="25" t="s">
        <v>1957</v>
      </c>
      <c r="E126" s="27">
        <v>149598702.45719999</v>
      </c>
      <c r="F126" s="25" t="s">
        <v>897</v>
      </c>
      <c r="G126" s="25" t="s">
        <v>52</v>
      </c>
      <c r="H126" s="25" t="s">
        <v>125</v>
      </c>
      <c r="I126" s="16"/>
      <c r="J126" s="16"/>
    </row>
    <row r="127" spans="4:10">
      <c r="D127" s="25" t="s">
        <v>1958</v>
      </c>
      <c r="E127" s="27">
        <v>10171160.996543998</v>
      </c>
      <c r="F127" s="25" t="s">
        <v>897</v>
      </c>
      <c r="G127" s="25" t="s">
        <v>52</v>
      </c>
      <c r="H127" s="25" t="s">
        <v>56</v>
      </c>
      <c r="I127" s="16"/>
      <c r="J127" s="16"/>
    </row>
    <row r="128" spans="4:10">
      <c r="D128" s="25" t="s">
        <v>1959</v>
      </c>
      <c r="E128" s="27">
        <v>251235403.35552001</v>
      </c>
      <c r="F128" s="25" t="s">
        <v>897</v>
      </c>
      <c r="G128" s="25" t="s">
        <v>52</v>
      </c>
      <c r="H128" s="25" t="s">
        <v>125</v>
      </c>
      <c r="I128" s="16"/>
      <c r="J128" s="16"/>
    </row>
    <row r="129" spans="4:10">
      <c r="D129" s="25" t="s">
        <v>1960</v>
      </c>
      <c r="E129" s="27">
        <v>102393165.52421999</v>
      </c>
      <c r="F129" s="25" t="s">
        <v>897</v>
      </c>
      <c r="G129" s="25" t="s">
        <v>52</v>
      </c>
      <c r="H129" s="25" t="s">
        <v>94</v>
      </c>
      <c r="I129" s="16"/>
      <c r="J129" s="16"/>
    </row>
    <row r="130" spans="4:10">
      <c r="D130" s="25" t="s">
        <v>1961</v>
      </c>
      <c r="E130" s="27">
        <v>4655070.3385920003</v>
      </c>
      <c r="F130" s="25" t="s">
        <v>897</v>
      </c>
      <c r="G130" s="25" t="s">
        <v>52</v>
      </c>
      <c r="H130" s="25" t="s">
        <v>94</v>
      </c>
      <c r="I130" s="16"/>
      <c r="J130" s="16"/>
    </row>
    <row r="131" spans="4:10">
      <c r="D131" s="25" t="s">
        <v>1962</v>
      </c>
      <c r="E131" s="27">
        <v>19246343.31552</v>
      </c>
      <c r="F131" s="25" t="s">
        <v>897</v>
      </c>
      <c r="G131" s="25" t="s">
        <v>99</v>
      </c>
      <c r="H131" s="25" t="s">
        <v>125</v>
      </c>
      <c r="I131" s="16"/>
      <c r="J131" s="16"/>
    </row>
    <row r="132" spans="4:10">
      <c r="D132" s="25" t="s">
        <v>1963</v>
      </c>
      <c r="E132" s="27">
        <v>54449486.755199999</v>
      </c>
      <c r="F132" s="25" t="s">
        <v>897</v>
      </c>
      <c r="G132" s="25" t="s">
        <v>133</v>
      </c>
      <c r="H132" s="25" t="s">
        <v>134</v>
      </c>
      <c r="I132" s="16"/>
      <c r="J132" s="16"/>
    </row>
    <row r="133" spans="4:10">
      <c r="D133" s="25" t="s">
        <v>1964</v>
      </c>
      <c r="E133" s="27">
        <v>57195052.25851199</v>
      </c>
      <c r="F133" s="25" t="s">
        <v>897</v>
      </c>
      <c r="G133" s="25" t="s">
        <v>99</v>
      </c>
      <c r="H133" s="25" t="s">
        <v>109</v>
      </c>
      <c r="I133" s="16"/>
      <c r="J133" s="16"/>
    </row>
    <row r="134" spans="4:10">
      <c r="D134" s="25" t="s">
        <v>1965</v>
      </c>
      <c r="E134" s="27">
        <v>1056526.2711359998</v>
      </c>
      <c r="F134" s="25" t="s">
        <v>897</v>
      </c>
      <c r="G134" s="25" t="s">
        <v>52</v>
      </c>
      <c r="H134" s="25" t="s">
        <v>94</v>
      </c>
      <c r="I134" s="16"/>
      <c r="J134" s="16"/>
    </row>
    <row r="135" spans="4:10">
      <c r="D135" s="25" t="s">
        <v>1966</v>
      </c>
      <c r="E135" s="27">
        <v>7356431.8831440005</v>
      </c>
      <c r="F135" s="25" t="s">
        <v>897</v>
      </c>
      <c r="G135" s="25" t="s">
        <v>99</v>
      </c>
      <c r="H135" s="25" t="s">
        <v>89</v>
      </c>
      <c r="I135" s="16"/>
      <c r="J135" s="16"/>
    </row>
    <row r="136" spans="4:10">
      <c r="D136" s="25" t="s">
        <v>1967</v>
      </c>
      <c r="E136" s="27">
        <v>243537393.63072002</v>
      </c>
      <c r="F136" s="25" t="s">
        <v>897</v>
      </c>
      <c r="G136" s="25" t="s">
        <v>52</v>
      </c>
      <c r="H136" s="25" t="s">
        <v>125</v>
      </c>
      <c r="I136" s="16"/>
      <c r="J136" s="16"/>
    </row>
    <row r="137" spans="4:10">
      <c r="D137" s="25" t="s">
        <v>1968</v>
      </c>
      <c r="E137" s="27">
        <v>54932258.089799993</v>
      </c>
      <c r="F137" s="25" t="s">
        <v>897</v>
      </c>
      <c r="G137" s="25" t="s">
        <v>99</v>
      </c>
      <c r="H137" s="25" t="s">
        <v>109</v>
      </c>
      <c r="I137" s="16"/>
      <c r="J137" s="16"/>
    </row>
    <row r="138" spans="4:10">
      <c r="D138" s="25" t="s">
        <v>1969</v>
      </c>
      <c r="E138" s="27">
        <v>415352.98070399993</v>
      </c>
      <c r="F138" s="25" t="s">
        <v>897</v>
      </c>
      <c r="G138" s="25" t="s">
        <v>99</v>
      </c>
      <c r="H138" s="25" t="s">
        <v>109</v>
      </c>
      <c r="I138" s="16"/>
      <c r="J138" s="16"/>
    </row>
    <row r="139" spans="4:10">
      <c r="D139" s="25" t="s">
        <v>1970</v>
      </c>
      <c r="E139" s="27">
        <v>21527220.752999999</v>
      </c>
      <c r="F139" s="25" t="s">
        <v>897</v>
      </c>
      <c r="G139" s="25" t="s">
        <v>52</v>
      </c>
      <c r="H139" s="25" t="s">
        <v>109</v>
      </c>
      <c r="I139" s="16"/>
      <c r="J139" s="16"/>
    </row>
    <row r="140" spans="4:10">
      <c r="D140" s="25" t="s">
        <v>1971</v>
      </c>
      <c r="E140" s="27">
        <v>11465580.540959999</v>
      </c>
      <c r="F140" s="25" t="s">
        <v>897</v>
      </c>
      <c r="G140" s="25" t="s">
        <v>52</v>
      </c>
      <c r="H140" s="25" t="s">
        <v>56</v>
      </c>
      <c r="I140" s="16"/>
      <c r="J140" s="16"/>
    </row>
    <row r="141" spans="4:10">
      <c r="D141" s="25" t="s">
        <v>1972</v>
      </c>
      <c r="E141" s="27">
        <v>51920991.409247994</v>
      </c>
      <c r="F141" s="25" t="s">
        <v>897</v>
      </c>
      <c r="G141" s="25" t="s">
        <v>99</v>
      </c>
      <c r="H141" s="25" t="s">
        <v>56</v>
      </c>
      <c r="I141" s="16"/>
      <c r="J141" s="16"/>
    </row>
    <row r="142" spans="4:10">
      <c r="D142" s="25" t="s">
        <v>1973</v>
      </c>
      <c r="E142" s="27">
        <v>2105825.9067599997</v>
      </c>
      <c r="F142" s="25" t="s">
        <v>897</v>
      </c>
      <c r="G142" s="25" t="s">
        <v>52</v>
      </c>
      <c r="H142" s="25" t="s">
        <v>134</v>
      </c>
      <c r="I142" s="16"/>
      <c r="J142" s="16"/>
    </row>
    <row r="143" spans="4:10">
      <c r="D143" s="25" t="s">
        <v>1974</v>
      </c>
      <c r="E143" s="27">
        <v>2275303.45536</v>
      </c>
      <c r="F143" s="25" t="s">
        <v>897</v>
      </c>
      <c r="G143" s="25" t="s">
        <v>99</v>
      </c>
      <c r="H143" s="25" t="s">
        <v>109</v>
      </c>
      <c r="I143" s="16"/>
      <c r="J143" s="16"/>
    </row>
    <row r="144" spans="4:10">
      <c r="D144" s="25" t="s">
        <v>1975</v>
      </c>
      <c r="E144" s="27">
        <v>35048354.863199994</v>
      </c>
      <c r="F144" s="25" t="s">
        <v>897</v>
      </c>
      <c r="G144" s="25" t="s">
        <v>99</v>
      </c>
      <c r="H144" s="25" t="s">
        <v>94</v>
      </c>
      <c r="I144" s="16"/>
      <c r="J144" s="16"/>
    </row>
    <row r="145" spans="4:10">
      <c r="D145" s="25" t="s">
        <v>1976</v>
      </c>
      <c r="E145" s="27">
        <v>5428768.1955840001</v>
      </c>
      <c r="F145" s="25" t="s">
        <v>897</v>
      </c>
      <c r="G145" s="25" t="s">
        <v>52</v>
      </c>
      <c r="H145" s="25" t="s">
        <v>56</v>
      </c>
      <c r="I145" s="16"/>
      <c r="J145" s="16"/>
    </row>
    <row r="146" spans="4:10">
      <c r="D146" s="25" t="s">
        <v>1977</v>
      </c>
      <c r="E146" s="27">
        <v>9472854.2131199986</v>
      </c>
      <c r="F146" s="25" t="s">
        <v>897</v>
      </c>
      <c r="G146" s="25" t="s">
        <v>99</v>
      </c>
      <c r="H146" s="25" t="s">
        <v>56</v>
      </c>
      <c r="I146" s="16"/>
      <c r="J146" s="16"/>
    </row>
    <row r="147" spans="4:10">
      <c r="D147" s="25" t="s">
        <v>1978</v>
      </c>
      <c r="E147" s="27">
        <v>7438202.3347199997</v>
      </c>
      <c r="F147" s="25" t="s">
        <v>897</v>
      </c>
      <c r="G147" s="25" t="s">
        <v>52</v>
      </c>
      <c r="H147" s="25" t="s">
        <v>94</v>
      </c>
      <c r="I147" s="16"/>
      <c r="J147" s="16"/>
    </row>
    <row r="148" spans="4:10">
      <c r="D148" s="25" t="s">
        <v>1979</v>
      </c>
      <c r="E148" s="27">
        <v>21648284.321663994</v>
      </c>
      <c r="F148" s="25" t="s">
        <v>897</v>
      </c>
      <c r="G148" s="25" t="s">
        <v>99</v>
      </c>
      <c r="H148" s="25" t="s">
        <v>109</v>
      </c>
      <c r="I148" s="16"/>
      <c r="J148" s="16"/>
    </row>
    <row r="149" spans="4:10">
      <c r="D149" s="25" t="s">
        <v>1980</v>
      </c>
      <c r="E149" s="27">
        <v>199861902.948708</v>
      </c>
      <c r="F149" s="25" t="s">
        <v>897</v>
      </c>
      <c r="G149" s="25" t="s">
        <v>52</v>
      </c>
      <c r="H149" s="25" t="s">
        <v>94</v>
      </c>
      <c r="I149" s="16"/>
      <c r="J149" s="16"/>
    </row>
    <row r="150" spans="4:10">
      <c r="D150" s="25" t="s">
        <v>1981</v>
      </c>
      <c r="E150" s="27">
        <v>24407997.557567995</v>
      </c>
      <c r="F150" s="25" t="s">
        <v>897</v>
      </c>
      <c r="G150" s="25" t="s">
        <v>52</v>
      </c>
      <c r="H150" s="25" t="s">
        <v>89</v>
      </c>
      <c r="I150" s="16"/>
      <c r="J150" s="16"/>
    </row>
    <row r="151" spans="4:10">
      <c r="D151" s="25" t="s">
        <v>1982</v>
      </c>
      <c r="E151" s="27">
        <v>9527253.7669559978</v>
      </c>
      <c r="F151" s="25" t="s">
        <v>897</v>
      </c>
      <c r="G151" s="25" t="s">
        <v>99</v>
      </c>
      <c r="H151" s="25" t="s">
        <v>56</v>
      </c>
      <c r="I151" s="16"/>
      <c r="J151" s="16"/>
    </row>
    <row r="152" spans="4:10">
      <c r="D152" s="25" t="s">
        <v>1983</v>
      </c>
      <c r="E152" s="27">
        <v>24490825.063320003</v>
      </c>
      <c r="F152" s="25" t="s">
        <v>897</v>
      </c>
      <c r="G152" s="25" t="s">
        <v>133</v>
      </c>
      <c r="H152" s="25" t="s">
        <v>125</v>
      </c>
      <c r="I152" s="16"/>
      <c r="J152" s="16"/>
    </row>
    <row r="153" spans="4:10">
      <c r="D153" s="25" t="s">
        <v>1984</v>
      </c>
      <c r="E153" s="27">
        <v>24294849.18</v>
      </c>
      <c r="F153" s="25" t="s">
        <v>897</v>
      </c>
      <c r="G153" s="25" t="s">
        <v>52</v>
      </c>
      <c r="H153" s="25" t="s">
        <v>56</v>
      </c>
      <c r="I153" s="16"/>
      <c r="J153" s="16"/>
    </row>
    <row r="154" spans="4:10">
      <c r="D154" s="25" t="s">
        <v>1985</v>
      </c>
      <c r="E154" s="27">
        <v>161544369.70694399</v>
      </c>
      <c r="F154" s="25" t="s">
        <v>897</v>
      </c>
      <c r="G154" s="25" t="s">
        <v>52</v>
      </c>
      <c r="H154" s="25" t="s">
        <v>109</v>
      </c>
      <c r="I154" s="16"/>
      <c r="J154" s="16"/>
    </row>
    <row r="155" spans="4:10">
      <c r="D155" s="25" t="s">
        <v>1986</v>
      </c>
      <c r="E155" s="27">
        <v>42007307.468111999</v>
      </c>
      <c r="F155" s="25" t="s">
        <v>897</v>
      </c>
      <c r="G155" s="25" t="s">
        <v>52</v>
      </c>
      <c r="H155" s="25" t="s">
        <v>125</v>
      </c>
      <c r="I155" s="16"/>
      <c r="J155" s="16"/>
    </row>
    <row r="156" spans="4:10">
      <c r="D156" s="25" t="s">
        <v>1987</v>
      </c>
      <c r="E156" s="27">
        <v>112426476.80565599</v>
      </c>
      <c r="F156" s="25" t="s">
        <v>897</v>
      </c>
      <c r="G156" s="25" t="s">
        <v>52</v>
      </c>
      <c r="H156" s="25" t="s">
        <v>125</v>
      </c>
      <c r="I156" s="16"/>
      <c r="J156" s="16"/>
    </row>
    <row r="157" spans="4:10">
      <c r="D157" s="25" t="s">
        <v>1988</v>
      </c>
      <c r="E157" s="27">
        <v>29208504.253476001</v>
      </c>
      <c r="F157" s="25" t="s">
        <v>897</v>
      </c>
      <c r="G157" s="25" t="s">
        <v>133</v>
      </c>
      <c r="H157" s="25" t="s">
        <v>134</v>
      </c>
      <c r="I157" s="16"/>
      <c r="J157" s="16"/>
    </row>
    <row r="158" spans="4:10">
      <c r="D158" s="25" t="s">
        <v>1989</v>
      </c>
      <c r="E158" s="27">
        <v>164830459.08252001</v>
      </c>
      <c r="F158" s="25" t="s">
        <v>897</v>
      </c>
      <c r="G158" s="25" t="s">
        <v>99</v>
      </c>
      <c r="H158" s="25" t="s">
        <v>134</v>
      </c>
      <c r="I158" s="16"/>
      <c r="J158" s="16"/>
    </row>
    <row r="159" spans="4:10">
      <c r="D159" s="25" t="s">
        <v>1990</v>
      </c>
      <c r="E159" s="27">
        <v>13802954.374607999</v>
      </c>
      <c r="F159" s="25" t="s">
        <v>897</v>
      </c>
      <c r="G159" s="25" t="s">
        <v>52</v>
      </c>
      <c r="H159" s="25" t="s">
        <v>125</v>
      </c>
      <c r="I159" s="16"/>
      <c r="J159" s="16"/>
    </row>
    <row r="160" spans="4:10">
      <c r="D160" s="25" t="s">
        <v>1991</v>
      </c>
      <c r="E160" s="27">
        <v>12158375.157504</v>
      </c>
      <c r="F160" s="25" t="s">
        <v>897</v>
      </c>
      <c r="G160" s="25" t="s">
        <v>52</v>
      </c>
      <c r="H160" s="25" t="s">
        <v>134</v>
      </c>
      <c r="I160" s="16"/>
      <c r="J160" s="16"/>
    </row>
    <row r="161" spans="4:10">
      <c r="D161" s="25" t="s">
        <v>1992</v>
      </c>
      <c r="E161" s="27">
        <v>113477442.32145599</v>
      </c>
      <c r="F161" s="25" t="s">
        <v>897</v>
      </c>
      <c r="G161" s="25" t="s">
        <v>99</v>
      </c>
      <c r="H161" s="25" t="s">
        <v>94</v>
      </c>
      <c r="I161" s="16"/>
      <c r="J161" s="16"/>
    </row>
    <row r="162" spans="4:10">
      <c r="D162" s="25" t="s">
        <v>1993</v>
      </c>
      <c r="E162" s="27">
        <v>87409404.556848004</v>
      </c>
      <c r="F162" s="25" t="s">
        <v>897</v>
      </c>
      <c r="G162" s="25" t="s">
        <v>99</v>
      </c>
      <c r="H162" s="25" t="s">
        <v>125</v>
      </c>
      <c r="I162" s="16"/>
      <c r="J162" s="16"/>
    </row>
    <row r="163" spans="4:10">
      <c r="D163" s="25" t="s">
        <v>1994</v>
      </c>
      <c r="E163" s="27">
        <v>198850491.12474</v>
      </c>
      <c r="F163" s="25" t="s">
        <v>897</v>
      </c>
      <c r="G163" s="25" t="s">
        <v>52</v>
      </c>
      <c r="H163" s="25" t="s">
        <v>94</v>
      </c>
      <c r="I163" s="16"/>
      <c r="J163" s="16"/>
    </row>
    <row r="164" spans="4:10">
      <c r="D164" s="25" t="s">
        <v>1995</v>
      </c>
      <c r="E164" s="27">
        <v>3945871.4899440003</v>
      </c>
      <c r="F164" s="25" t="s">
        <v>897</v>
      </c>
      <c r="G164" s="25" t="s">
        <v>52</v>
      </c>
      <c r="H164" s="25" t="s">
        <v>134</v>
      </c>
      <c r="I164" s="16"/>
      <c r="J164" s="16"/>
    </row>
    <row r="165" spans="4:10">
      <c r="D165" s="25" t="s">
        <v>1996</v>
      </c>
      <c r="E165" s="27">
        <v>33374340.452375997</v>
      </c>
      <c r="F165" s="25" t="s">
        <v>897</v>
      </c>
      <c r="G165" s="25" t="s">
        <v>52</v>
      </c>
      <c r="H165" s="25" t="s">
        <v>89</v>
      </c>
      <c r="I165" s="16"/>
      <c r="J165" s="16"/>
    </row>
    <row r="166" spans="4:10">
      <c r="D166" s="25" t="s">
        <v>1997</v>
      </c>
      <c r="E166" s="27">
        <v>81210075.469535977</v>
      </c>
      <c r="F166" s="25" t="s">
        <v>897</v>
      </c>
      <c r="G166" s="25" t="s">
        <v>99</v>
      </c>
      <c r="H166" s="25" t="s">
        <v>109</v>
      </c>
      <c r="I166" s="16"/>
      <c r="J166" s="16"/>
    </row>
    <row r="167" spans="4:10">
      <c r="D167" s="25" t="s">
        <v>1998</v>
      </c>
      <c r="E167" s="27">
        <v>15762838.167647999</v>
      </c>
      <c r="F167" s="25" t="s">
        <v>897</v>
      </c>
      <c r="G167" s="25" t="s">
        <v>99</v>
      </c>
      <c r="H167" s="25" t="s">
        <v>134</v>
      </c>
      <c r="I167" s="16"/>
      <c r="J167" s="16"/>
    </row>
    <row r="168" spans="4:10">
      <c r="D168" s="25" t="s">
        <v>1999</v>
      </c>
      <c r="E168" s="27">
        <v>30025151.354879998</v>
      </c>
      <c r="F168" s="25" t="s">
        <v>897</v>
      </c>
      <c r="G168" s="25" t="s">
        <v>52</v>
      </c>
      <c r="H168" s="25" t="s">
        <v>109</v>
      </c>
      <c r="I168" s="16"/>
      <c r="J168" s="16"/>
    </row>
    <row r="169" spans="4:10">
      <c r="D169" s="25" t="s">
        <v>2000</v>
      </c>
      <c r="E169" s="27">
        <v>21926651.414783999</v>
      </c>
      <c r="F169" s="25" t="s">
        <v>897</v>
      </c>
      <c r="G169" s="25" t="s">
        <v>99</v>
      </c>
      <c r="H169" s="25" t="s">
        <v>125</v>
      </c>
      <c r="I169" s="16"/>
      <c r="J169" s="16"/>
    </row>
    <row r="170" spans="4:10">
      <c r="D170" s="25" t="s">
        <v>2001</v>
      </c>
      <c r="E170" s="27">
        <v>10785616.913399998</v>
      </c>
      <c r="F170" s="25" t="s">
        <v>897</v>
      </c>
      <c r="G170" s="25" t="s">
        <v>133</v>
      </c>
      <c r="H170" s="25" t="s">
        <v>56</v>
      </c>
      <c r="I170" s="16"/>
      <c r="J170" s="16"/>
    </row>
    <row r="171" spans="4:10">
      <c r="D171" s="25" t="s">
        <v>2002</v>
      </c>
      <c r="E171" s="27">
        <v>93192241.564799994</v>
      </c>
      <c r="F171" s="25" t="s">
        <v>897</v>
      </c>
      <c r="G171" s="25" t="s">
        <v>52</v>
      </c>
      <c r="H171" s="25" t="s">
        <v>125</v>
      </c>
      <c r="I171" s="16"/>
      <c r="J171" s="16"/>
    </row>
    <row r="172" spans="4:10">
      <c r="D172" s="25" t="s">
        <v>2003</v>
      </c>
      <c r="E172" s="27">
        <v>10905748.987679999</v>
      </c>
      <c r="F172" s="25" t="s">
        <v>897</v>
      </c>
      <c r="G172" s="25" t="s">
        <v>52</v>
      </c>
      <c r="H172" s="25" t="s">
        <v>56</v>
      </c>
      <c r="I172" s="16"/>
      <c r="J172" s="16"/>
    </row>
    <row r="173" spans="4:10">
      <c r="D173" s="25" t="s">
        <v>2004</v>
      </c>
      <c r="E173" s="27">
        <v>48163284.978815988</v>
      </c>
      <c r="F173" s="25" t="s">
        <v>897</v>
      </c>
      <c r="G173" s="25" t="s">
        <v>99</v>
      </c>
      <c r="H173" s="25" t="s">
        <v>56</v>
      </c>
      <c r="I173" s="16"/>
      <c r="J173" s="16"/>
    </row>
    <row r="174" spans="4:10">
      <c r="D174" s="25" t="s">
        <v>2005</v>
      </c>
      <c r="E174" s="27">
        <v>46211297.028767996</v>
      </c>
      <c r="F174" s="25" t="s">
        <v>897</v>
      </c>
      <c r="G174" s="25" t="s">
        <v>133</v>
      </c>
      <c r="H174" s="25" t="s">
        <v>125</v>
      </c>
      <c r="I174" s="16"/>
      <c r="J174" s="16"/>
    </row>
    <row r="175" spans="4:10">
      <c r="D175" s="25" t="s">
        <v>2006</v>
      </c>
      <c r="E175" s="27">
        <v>39225208.884432003</v>
      </c>
      <c r="F175" s="25" t="s">
        <v>897</v>
      </c>
      <c r="G175" s="25" t="s">
        <v>99</v>
      </c>
      <c r="H175" s="25" t="s">
        <v>89</v>
      </c>
      <c r="I175" s="16"/>
      <c r="J175" s="16"/>
    </row>
    <row r="176" spans="4:10">
      <c r="D176" s="25" t="s">
        <v>2007</v>
      </c>
      <c r="E176" s="27">
        <v>5926593.2188319992</v>
      </c>
      <c r="F176" s="25" t="s">
        <v>897</v>
      </c>
      <c r="G176" s="25" t="s">
        <v>52</v>
      </c>
      <c r="H176" s="25" t="s">
        <v>56</v>
      </c>
      <c r="I176" s="16"/>
      <c r="J176" s="16"/>
    </row>
    <row r="177" spans="4:10">
      <c r="D177" s="25" t="s">
        <v>2008</v>
      </c>
      <c r="E177" s="27">
        <v>7688404.7299199989</v>
      </c>
      <c r="F177" s="25" t="s">
        <v>897</v>
      </c>
      <c r="G177" s="25" t="s">
        <v>52</v>
      </c>
      <c r="H177" s="25" t="s">
        <v>56</v>
      </c>
      <c r="I177" s="16"/>
      <c r="J177" s="16"/>
    </row>
    <row r="178" spans="4:10">
      <c r="D178" s="25" t="s">
        <v>2009</v>
      </c>
      <c r="E178" s="27">
        <v>63671274.329039991</v>
      </c>
      <c r="F178" s="25" t="s">
        <v>897</v>
      </c>
      <c r="G178" s="25" t="s">
        <v>52</v>
      </c>
      <c r="H178" s="25" t="s">
        <v>94</v>
      </c>
      <c r="I178" s="16"/>
      <c r="J178" s="16"/>
    </row>
    <row r="179" spans="4:10">
      <c r="D179" s="25" t="s">
        <v>2010</v>
      </c>
      <c r="E179" s="27">
        <v>19020088.700400002</v>
      </c>
      <c r="F179" s="25" t="s">
        <v>897</v>
      </c>
      <c r="G179" s="25" t="s">
        <v>52</v>
      </c>
      <c r="H179" s="25" t="s">
        <v>56</v>
      </c>
      <c r="I179" s="16"/>
      <c r="J179" s="16"/>
    </row>
    <row r="180" spans="4:10">
      <c r="D180" s="25" t="s">
        <v>2011</v>
      </c>
      <c r="E180" s="27">
        <v>43065332.353919998</v>
      </c>
      <c r="F180" s="25" t="s">
        <v>897</v>
      </c>
      <c r="G180" s="25" t="s">
        <v>99</v>
      </c>
      <c r="H180" s="25" t="s">
        <v>56</v>
      </c>
      <c r="I180" s="16"/>
      <c r="J180" s="16"/>
    </row>
    <row r="181" spans="4:10">
      <c r="D181" s="25" t="s">
        <v>2012</v>
      </c>
      <c r="E181" s="27">
        <v>47021302.727999993</v>
      </c>
      <c r="F181" s="25" t="s">
        <v>897</v>
      </c>
      <c r="G181" s="25" t="s">
        <v>52</v>
      </c>
      <c r="H181" s="25" t="s">
        <v>89</v>
      </c>
      <c r="I181" s="16"/>
      <c r="J181" s="16"/>
    </row>
    <row r="182" spans="4:10">
      <c r="D182" s="25" t="s">
        <v>2013</v>
      </c>
      <c r="E182" s="27">
        <v>13016699.392799998</v>
      </c>
      <c r="F182" s="25" t="s">
        <v>897</v>
      </c>
      <c r="G182" s="25" t="s">
        <v>99</v>
      </c>
      <c r="H182" s="25" t="s">
        <v>89</v>
      </c>
      <c r="I182" s="16"/>
      <c r="J182" s="16"/>
    </row>
    <row r="183" spans="4:10">
      <c r="D183" s="25" t="s">
        <v>2014</v>
      </c>
      <c r="E183" s="27">
        <v>30797245.709999993</v>
      </c>
      <c r="F183" s="25" t="s">
        <v>897</v>
      </c>
      <c r="G183" s="25" t="s">
        <v>133</v>
      </c>
      <c r="H183" s="25" t="s">
        <v>94</v>
      </c>
      <c r="I183" s="16"/>
      <c r="J183" s="16"/>
    </row>
    <row r="184" spans="4:10">
      <c r="D184" s="25" t="s">
        <v>2015</v>
      </c>
      <c r="E184" s="27">
        <v>18079507.908336002</v>
      </c>
      <c r="F184" s="25" t="s">
        <v>897</v>
      </c>
      <c r="G184" s="25" t="s">
        <v>133</v>
      </c>
      <c r="H184" s="25" t="s">
        <v>134</v>
      </c>
      <c r="I184" s="16"/>
      <c r="J184" s="16"/>
    </row>
    <row r="185" spans="4:10">
      <c r="D185" s="25" t="s">
        <v>2016</v>
      </c>
      <c r="E185" s="27">
        <v>5234930.295504001</v>
      </c>
      <c r="F185" s="25" t="s">
        <v>897</v>
      </c>
      <c r="G185" s="25" t="s">
        <v>52</v>
      </c>
      <c r="H185" s="25" t="s">
        <v>125</v>
      </c>
      <c r="I185" s="16"/>
      <c r="J185" s="16"/>
    </row>
    <row r="186" spans="4:10">
      <c r="D186" s="25" t="s">
        <v>2017</v>
      </c>
      <c r="E186" s="27">
        <v>36098013.153887995</v>
      </c>
      <c r="F186" s="25" t="s">
        <v>897</v>
      </c>
      <c r="G186" s="25" t="s">
        <v>133</v>
      </c>
      <c r="H186" s="25" t="s">
        <v>94</v>
      </c>
      <c r="I186" s="16"/>
      <c r="J186" s="16"/>
    </row>
    <row r="187" spans="4:10">
      <c r="D187" s="25" t="s">
        <v>2018</v>
      </c>
      <c r="E187" s="27">
        <v>9396090.0745799989</v>
      </c>
      <c r="F187" s="25" t="s">
        <v>897</v>
      </c>
      <c r="G187" s="25" t="s">
        <v>52</v>
      </c>
      <c r="H187" s="25" t="s">
        <v>94</v>
      </c>
      <c r="I187" s="16"/>
      <c r="J187" s="16"/>
    </row>
    <row r="188" spans="4:10">
      <c r="D188" s="25" t="s">
        <v>2019</v>
      </c>
      <c r="E188" s="27">
        <v>93913200.309239998</v>
      </c>
      <c r="F188" s="25" t="s">
        <v>897</v>
      </c>
      <c r="G188" s="25" t="s">
        <v>52</v>
      </c>
      <c r="H188" s="25" t="s">
        <v>89</v>
      </c>
      <c r="I188" s="16"/>
      <c r="J188" s="16"/>
    </row>
    <row r="189" spans="4:10">
      <c r="D189" s="25" t="s">
        <v>2020</v>
      </c>
      <c r="E189" s="27">
        <v>32128289.910287991</v>
      </c>
      <c r="F189" s="25" t="s">
        <v>897</v>
      </c>
      <c r="G189" s="25" t="s">
        <v>99</v>
      </c>
      <c r="H189" s="25" t="s">
        <v>134</v>
      </c>
      <c r="I189" s="16"/>
      <c r="J189" s="16"/>
    </row>
    <row r="190" spans="4:10">
      <c r="D190" s="25" t="s">
        <v>2021</v>
      </c>
      <c r="E190" s="27">
        <v>133464727.29657599</v>
      </c>
      <c r="F190" s="25" t="s">
        <v>897</v>
      </c>
      <c r="G190" s="25" t="s">
        <v>99</v>
      </c>
      <c r="H190" s="25" t="s">
        <v>56</v>
      </c>
      <c r="I190" s="16"/>
      <c r="J190" s="16"/>
    </row>
    <row r="191" spans="4:10">
      <c r="D191" s="25" t="s">
        <v>2022</v>
      </c>
      <c r="E191" s="27">
        <v>46583979.061007991</v>
      </c>
      <c r="F191" s="25" t="s">
        <v>897</v>
      </c>
      <c r="G191" s="25" t="s">
        <v>52</v>
      </c>
      <c r="H191" s="25" t="s">
        <v>134</v>
      </c>
      <c r="I191" s="16"/>
      <c r="J191" s="16"/>
    </row>
    <row r="192" spans="4:10">
      <c r="D192" s="25" t="s">
        <v>2023</v>
      </c>
      <c r="E192" s="27">
        <v>9094921.6417919993</v>
      </c>
      <c r="F192" s="25" t="s">
        <v>897</v>
      </c>
      <c r="G192" s="25" t="s">
        <v>52</v>
      </c>
      <c r="H192" s="25" t="s">
        <v>109</v>
      </c>
      <c r="I192" s="16"/>
      <c r="J192" s="16"/>
    </row>
    <row r="193" spans="4:10">
      <c r="D193" s="25" t="s">
        <v>2024</v>
      </c>
      <c r="E193" s="27">
        <v>23733004.076099999</v>
      </c>
      <c r="F193" s="25" t="s">
        <v>897</v>
      </c>
      <c r="G193" s="25" t="s">
        <v>99</v>
      </c>
      <c r="H193" s="25" t="s">
        <v>89</v>
      </c>
      <c r="I193" s="16"/>
      <c r="J193" s="16"/>
    </row>
    <row r="194" spans="4:10">
      <c r="D194" s="25" t="s">
        <v>2025</v>
      </c>
      <c r="E194" s="27">
        <v>63931628.311235994</v>
      </c>
      <c r="F194" s="25" t="s">
        <v>897</v>
      </c>
      <c r="G194" s="25" t="s">
        <v>52</v>
      </c>
      <c r="H194" s="25" t="s">
        <v>125</v>
      </c>
      <c r="I194" s="16"/>
      <c r="J194" s="16"/>
    </row>
    <row r="195" spans="4:10">
      <c r="D195" s="25" t="s">
        <v>2026</v>
      </c>
      <c r="E195" s="27">
        <v>133385649.86736</v>
      </c>
      <c r="F195" s="25" t="s">
        <v>897</v>
      </c>
      <c r="G195" s="25" t="s">
        <v>99</v>
      </c>
      <c r="H195" s="25" t="s">
        <v>89</v>
      </c>
      <c r="I195" s="16"/>
      <c r="J195" s="16"/>
    </row>
    <row r="196" spans="4:10">
      <c r="D196" s="25" t="s">
        <v>2027</v>
      </c>
      <c r="E196" s="27">
        <v>7553914.8733799998</v>
      </c>
      <c r="F196" s="25" t="s">
        <v>897</v>
      </c>
      <c r="G196" s="25" t="s">
        <v>99</v>
      </c>
      <c r="H196" s="25" t="s">
        <v>89</v>
      </c>
      <c r="I196" s="16"/>
      <c r="J196" s="16"/>
    </row>
    <row r="197" spans="4:10">
      <c r="D197" s="25" t="s">
        <v>2028</v>
      </c>
      <c r="E197" s="27">
        <v>16318431.440064002</v>
      </c>
      <c r="F197" s="25" t="s">
        <v>897</v>
      </c>
      <c r="G197" s="25" t="s">
        <v>52</v>
      </c>
      <c r="H197" s="25" t="s">
        <v>56</v>
      </c>
      <c r="I197" s="16"/>
      <c r="J197" s="16"/>
    </row>
    <row r="198" spans="4:10">
      <c r="D198" s="25" t="s">
        <v>2029</v>
      </c>
      <c r="E198" s="27">
        <v>37425507.353975996</v>
      </c>
      <c r="F198" s="25" t="s">
        <v>897</v>
      </c>
      <c r="G198" s="25" t="s">
        <v>52</v>
      </c>
      <c r="H198" s="25" t="s">
        <v>125</v>
      </c>
      <c r="I198" s="16"/>
      <c r="J198" s="16"/>
    </row>
    <row r="199" spans="4:10">
      <c r="D199" s="25" t="s">
        <v>2030</v>
      </c>
      <c r="E199" s="27">
        <v>29299695.254015997</v>
      </c>
      <c r="F199" s="25" t="s">
        <v>897</v>
      </c>
      <c r="G199" s="25" t="s">
        <v>52</v>
      </c>
      <c r="H199" s="25" t="s">
        <v>56</v>
      </c>
      <c r="I199" s="16"/>
      <c r="J199" s="16"/>
    </row>
    <row r="200" spans="4:10">
      <c r="D200" s="25" t="s">
        <v>2031</v>
      </c>
      <c r="E200" s="27">
        <v>10322368.026624</v>
      </c>
      <c r="F200" s="25" t="s">
        <v>897</v>
      </c>
      <c r="G200" s="25" t="s">
        <v>52</v>
      </c>
      <c r="H200" s="25" t="s">
        <v>109</v>
      </c>
      <c r="I200" s="16"/>
      <c r="J200" s="16"/>
    </row>
    <row r="201" spans="4:10">
      <c r="D201" s="25" t="s">
        <v>2032</v>
      </c>
      <c r="E201" s="27">
        <v>14271905.450879999</v>
      </c>
      <c r="F201" s="25" t="s">
        <v>897</v>
      </c>
      <c r="G201" s="25" t="s">
        <v>52</v>
      </c>
      <c r="H201" s="25" t="s">
        <v>56</v>
      </c>
      <c r="I201" s="16"/>
      <c r="J201" s="16"/>
    </row>
    <row r="202" spans="4:10">
      <c r="D202" s="25" t="s">
        <v>2033</v>
      </c>
      <c r="E202" s="27">
        <v>67324763.750400007</v>
      </c>
      <c r="F202" s="25" t="s">
        <v>897</v>
      </c>
      <c r="G202" s="25" t="s">
        <v>52</v>
      </c>
      <c r="H202" s="25" t="s">
        <v>56</v>
      </c>
      <c r="I202" s="16"/>
      <c r="J202" s="16"/>
    </row>
    <row r="203" spans="4:10">
      <c r="D203" s="25" t="s">
        <v>2034</v>
      </c>
      <c r="E203" s="27">
        <v>96545244.291287988</v>
      </c>
      <c r="F203" s="25" t="s">
        <v>897</v>
      </c>
      <c r="G203" s="25" t="s">
        <v>52</v>
      </c>
      <c r="H203" s="25" t="s">
        <v>125</v>
      </c>
      <c r="I203" s="16"/>
      <c r="J203" s="16"/>
    </row>
    <row r="204" spans="4:10">
      <c r="D204" s="25" t="s">
        <v>2035</v>
      </c>
      <c r="E204" s="27">
        <v>167107086.12595201</v>
      </c>
      <c r="F204" s="25" t="s">
        <v>897</v>
      </c>
      <c r="G204" s="25" t="s">
        <v>52</v>
      </c>
      <c r="H204" s="25" t="s">
        <v>94</v>
      </c>
      <c r="I204" s="16"/>
      <c r="J204" s="16"/>
    </row>
    <row r="205" spans="4:10">
      <c r="D205" s="25" t="s">
        <v>2036</v>
      </c>
      <c r="E205" s="27">
        <v>14863103.153135996</v>
      </c>
      <c r="F205" s="25" t="s">
        <v>897</v>
      </c>
      <c r="G205" s="25" t="s">
        <v>52</v>
      </c>
      <c r="H205" s="25" t="s">
        <v>125</v>
      </c>
      <c r="I205" s="16"/>
      <c r="J205" s="16"/>
    </row>
    <row r="206" spans="4:10">
      <c r="D206" s="25" t="s">
        <v>2037</v>
      </c>
      <c r="E206" s="27">
        <v>103401649.98576</v>
      </c>
      <c r="F206" s="25" t="s">
        <v>897</v>
      </c>
      <c r="G206" s="25" t="s">
        <v>52</v>
      </c>
      <c r="H206" s="25" t="s">
        <v>56</v>
      </c>
      <c r="I206" s="16"/>
      <c r="J206" s="16"/>
    </row>
    <row r="207" spans="4:10">
      <c r="D207" s="25" t="s">
        <v>2038</v>
      </c>
      <c r="E207" s="27">
        <v>137706698.614968</v>
      </c>
      <c r="F207" s="25" t="s">
        <v>897</v>
      </c>
      <c r="G207" s="25" t="s">
        <v>99</v>
      </c>
      <c r="H207" s="25" t="s">
        <v>56</v>
      </c>
      <c r="I207" s="16"/>
      <c r="J207" s="16"/>
    </row>
    <row r="208" spans="4:10">
      <c r="D208" s="25" t="s">
        <v>2039</v>
      </c>
      <c r="E208" s="27">
        <v>8354724.7804919984</v>
      </c>
      <c r="F208" s="25" t="s">
        <v>897</v>
      </c>
      <c r="G208" s="25" t="s">
        <v>133</v>
      </c>
      <c r="H208" s="25" t="s">
        <v>125</v>
      </c>
      <c r="I208" s="16"/>
      <c r="J208" s="16"/>
    </row>
    <row r="209" spans="4:10">
      <c r="D209" s="25" t="s">
        <v>2040</v>
      </c>
      <c r="E209" s="27">
        <v>331333541.91462004</v>
      </c>
      <c r="F209" s="25" t="s">
        <v>897</v>
      </c>
      <c r="G209" s="25" t="s">
        <v>52</v>
      </c>
      <c r="H209" s="25" t="s">
        <v>89</v>
      </c>
      <c r="I209" s="16"/>
      <c r="J209" s="16"/>
    </row>
    <row r="210" spans="4:10">
      <c r="D210" s="25" t="s">
        <v>2041</v>
      </c>
      <c r="E210" s="27">
        <v>113519071.73376001</v>
      </c>
      <c r="F210" s="25" t="s">
        <v>897</v>
      </c>
      <c r="G210" s="25" t="s">
        <v>52</v>
      </c>
      <c r="H210" s="25" t="s">
        <v>109</v>
      </c>
      <c r="I210" s="16"/>
      <c r="J210" s="16"/>
    </row>
    <row r="211" spans="4:10">
      <c r="D211" s="25" t="s">
        <v>2042</v>
      </c>
      <c r="E211" s="27">
        <v>50589207.344255999</v>
      </c>
      <c r="F211" s="25" t="s">
        <v>897</v>
      </c>
      <c r="G211" s="25" t="s">
        <v>52</v>
      </c>
      <c r="H211" s="25" t="s">
        <v>89</v>
      </c>
      <c r="I211" s="16"/>
      <c r="J211" s="16"/>
    </row>
    <row r="212" spans="4:10">
      <c r="D212" s="25" t="s">
        <v>2043</v>
      </c>
      <c r="E212" s="27">
        <v>87451709.730863988</v>
      </c>
      <c r="F212" s="25" t="s">
        <v>897</v>
      </c>
      <c r="G212" s="25" t="s">
        <v>52</v>
      </c>
      <c r="H212" s="25" t="s">
        <v>109</v>
      </c>
      <c r="I212" s="16"/>
      <c r="J212" s="16"/>
    </row>
    <row r="213" spans="4:10">
      <c r="D213" s="25" t="s">
        <v>2044</v>
      </c>
      <c r="E213" s="27">
        <v>32632636.06447199</v>
      </c>
      <c r="F213" s="25" t="s">
        <v>897</v>
      </c>
      <c r="G213" s="25" t="s">
        <v>52</v>
      </c>
      <c r="H213" s="25" t="s">
        <v>56</v>
      </c>
      <c r="I213" s="16"/>
      <c r="J213" s="16"/>
    </row>
    <row r="214" spans="4:10">
      <c r="D214" s="25" t="s">
        <v>2045</v>
      </c>
      <c r="E214" s="27">
        <v>192289587.99431998</v>
      </c>
      <c r="F214" s="25" t="s">
        <v>897</v>
      </c>
      <c r="G214" s="25" t="s">
        <v>52</v>
      </c>
      <c r="H214" s="25" t="s">
        <v>56</v>
      </c>
      <c r="I214" s="16"/>
      <c r="J214" s="16"/>
    </row>
    <row r="215" spans="4:10">
      <c r="D215" s="25" t="s">
        <v>2046</v>
      </c>
      <c r="E215" s="27">
        <v>143996595.87852001</v>
      </c>
      <c r="F215" s="25" t="s">
        <v>897</v>
      </c>
      <c r="G215" s="25" t="s">
        <v>99</v>
      </c>
      <c r="H215" s="25" t="s">
        <v>134</v>
      </c>
      <c r="I215" s="16"/>
      <c r="J215" s="16"/>
    </row>
    <row r="216" spans="4:10">
      <c r="D216" s="25" t="s">
        <v>2047</v>
      </c>
      <c r="E216" s="27">
        <v>100893989.83341599</v>
      </c>
      <c r="F216" s="25" t="s">
        <v>897</v>
      </c>
      <c r="G216" s="25" t="s">
        <v>52</v>
      </c>
      <c r="H216" s="25" t="s">
        <v>109</v>
      </c>
      <c r="I216" s="16"/>
      <c r="J216" s="16"/>
    </row>
    <row r="217" spans="4:10">
      <c r="D217" s="25" t="s">
        <v>2048</v>
      </c>
      <c r="E217" s="27">
        <v>11150371.73184</v>
      </c>
      <c r="F217" s="25" t="s">
        <v>897</v>
      </c>
      <c r="G217" s="25" t="s">
        <v>52</v>
      </c>
      <c r="H217" s="25" t="s">
        <v>125</v>
      </c>
      <c r="I217" s="16"/>
      <c r="J217" s="16"/>
    </row>
    <row r="218" spans="4:10">
      <c r="D218" s="25" t="s">
        <v>2049</v>
      </c>
      <c r="E218" s="27">
        <v>125355929.89727998</v>
      </c>
      <c r="F218" s="25" t="s">
        <v>897</v>
      </c>
      <c r="G218" s="25" t="s">
        <v>99</v>
      </c>
      <c r="H218" s="25" t="s">
        <v>134</v>
      </c>
      <c r="I218" s="16"/>
      <c r="J218" s="16"/>
    </row>
    <row r="219" spans="4:10">
      <c r="D219" s="25" t="s">
        <v>2050</v>
      </c>
      <c r="E219" s="27">
        <v>9963958.9512959979</v>
      </c>
      <c r="F219" s="25" t="s">
        <v>897</v>
      </c>
      <c r="G219" s="25" t="s">
        <v>52</v>
      </c>
      <c r="H219" s="25" t="s">
        <v>134</v>
      </c>
      <c r="I219" s="16"/>
      <c r="J219" s="16"/>
    </row>
    <row r="220" spans="4:10">
      <c r="D220" s="25" t="s">
        <v>2051</v>
      </c>
      <c r="E220" s="27">
        <v>52175954.719019994</v>
      </c>
      <c r="F220" s="25" t="s">
        <v>897</v>
      </c>
      <c r="G220" s="25" t="s">
        <v>99</v>
      </c>
      <c r="H220" s="25" t="s">
        <v>125</v>
      </c>
      <c r="I220" s="16"/>
      <c r="J220" s="16"/>
    </row>
    <row r="221" spans="4:10">
      <c r="D221" s="25" t="s">
        <v>2052</v>
      </c>
      <c r="E221" s="27">
        <v>37677933.377999991</v>
      </c>
      <c r="F221" s="25" t="s">
        <v>897</v>
      </c>
      <c r="G221" s="25" t="s">
        <v>99</v>
      </c>
      <c r="H221" s="25" t="s">
        <v>109</v>
      </c>
      <c r="I221" s="16"/>
      <c r="J221" s="16"/>
    </row>
    <row r="222" spans="4:10">
      <c r="D222" s="25" t="s">
        <v>2053</v>
      </c>
      <c r="E222" s="27">
        <v>161547015.04703996</v>
      </c>
      <c r="F222" s="25" t="s">
        <v>897</v>
      </c>
      <c r="G222" s="25" t="s">
        <v>99</v>
      </c>
      <c r="H222" s="25" t="s">
        <v>94</v>
      </c>
      <c r="I222" s="16"/>
      <c r="J222" s="16"/>
    </row>
    <row r="223" spans="4:10">
      <c r="D223" s="25" t="s">
        <v>2054</v>
      </c>
      <c r="E223" s="27">
        <v>8922853.3887479994</v>
      </c>
      <c r="F223" s="25" t="s">
        <v>897</v>
      </c>
      <c r="G223" s="25" t="s">
        <v>52</v>
      </c>
      <c r="H223" s="25" t="s">
        <v>134</v>
      </c>
      <c r="I223" s="16"/>
      <c r="J223" s="16"/>
    </row>
    <row r="224" spans="4:10">
      <c r="D224" s="25" t="s">
        <v>2055</v>
      </c>
      <c r="E224" s="27">
        <v>77042139.167195991</v>
      </c>
      <c r="F224" s="25" t="s">
        <v>897</v>
      </c>
      <c r="G224" s="25" t="s">
        <v>52</v>
      </c>
      <c r="H224" s="25" t="s">
        <v>125</v>
      </c>
      <c r="I224" s="16"/>
      <c r="J224" s="16"/>
    </row>
    <row r="225" spans="4:10">
      <c r="D225" s="25" t="s">
        <v>2056</v>
      </c>
      <c r="E225" s="27">
        <v>139272648.41318399</v>
      </c>
      <c r="F225" s="25" t="s">
        <v>897</v>
      </c>
      <c r="G225" s="25" t="s">
        <v>52</v>
      </c>
      <c r="H225" s="25" t="s">
        <v>109</v>
      </c>
      <c r="I225" s="16"/>
      <c r="J225" s="16"/>
    </row>
    <row r="226" spans="4:10">
      <c r="D226" s="25" t="s">
        <v>2057</v>
      </c>
      <c r="E226" s="27">
        <v>122320841.85043198</v>
      </c>
      <c r="F226" s="25" t="s">
        <v>897</v>
      </c>
      <c r="G226" s="25" t="s">
        <v>52</v>
      </c>
      <c r="H226" s="25" t="s">
        <v>109</v>
      </c>
      <c r="I226" s="16"/>
      <c r="J226" s="16"/>
    </row>
    <row r="227" spans="4:10">
      <c r="D227" s="25" t="s">
        <v>2058</v>
      </c>
      <c r="E227" s="27">
        <v>30999188.802911997</v>
      </c>
      <c r="F227" s="25" t="s">
        <v>897</v>
      </c>
      <c r="G227" s="25" t="s">
        <v>99</v>
      </c>
      <c r="H227" s="25" t="s">
        <v>109</v>
      </c>
      <c r="I227" s="16"/>
      <c r="J227" s="16"/>
    </row>
    <row r="228" spans="4:10">
      <c r="D228" s="25" t="s">
        <v>2059</v>
      </c>
      <c r="E228" s="27">
        <v>278835495.04461598</v>
      </c>
      <c r="F228" s="25" t="s">
        <v>897</v>
      </c>
      <c r="G228" s="25" t="s">
        <v>133</v>
      </c>
      <c r="H228" s="25" t="s">
        <v>125</v>
      </c>
      <c r="I228" s="16"/>
      <c r="J228" s="16"/>
    </row>
    <row r="229" spans="4:10">
      <c r="D229" s="25" t="s">
        <v>2060</v>
      </c>
      <c r="E229" s="27">
        <v>9392945.5900800005</v>
      </c>
      <c r="F229" s="25" t="s">
        <v>897</v>
      </c>
      <c r="G229" s="25" t="s">
        <v>52</v>
      </c>
      <c r="H229" s="25" t="s">
        <v>89</v>
      </c>
      <c r="I229" s="16"/>
      <c r="J229" s="16"/>
    </row>
    <row r="230" spans="4:10">
      <c r="D230" s="25" t="s">
        <v>2061</v>
      </c>
      <c r="E230" s="27">
        <v>13304573.311392002</v>
      </c>
      <c r="F230" s="25" t="s">
        <v>897</v>
      </c>
      <c r="G230" s="25" t="s">
        <v>52</v>
      </c>
      <c r="H230" s="25" t="s">
        <v>56</v>
      </c>
      <c r="I230" s="16"/>
      <c r="J230" s="16"/>
    </row>
    <row r="231" spans="4:10">
      <c r="D231" s="25" t="s">
        <v>2062</v>
      </c>
      <c r="E231" s="27">
        <v>4054878.8394240001</v>
      </c>
      <c r="F231" s="25" t="s">
        <v>897</v>
      </c>
      <c r="G231" s="25" t="s">
        <v>52</v>
      </c>
      <c r="H231" s="25" t="s">
        <v>94</v>
      </c>
      <c r="I231" s="16"/>
      <c r="J231" s="16"/>
    </row>
    <row r="232" spans="4:10">
      <c r="D232" s="25" t="s">
        <v>2063</v>
      </c>
      <c r="E232" s="27">
        <v>13646094.915552001</v>
      </c>
      <c r="F232" s="25" t="s">
        <v>897</v>
      </c>
      <c r="G232" s="25" t="s">
        <v>133</v>
      </c>
      <c r="H232" s="25" t="s">
        <v>94</v>
      </c>
      <c r="I232" s="16"/>
      <c r="J232" s="16"/>
    </row>
    <row r="233" spans="4:10">
      <c r="D233" s="25" t="s">
        <v>2064</v>
      </c>
      <c r="E233" s="27">
        <v>32978732.178744003</v>
      </c>
      <c r="F233" s="25" t="s">
        <v>897</v>
      </c>
      <c r="G233" s="25" t="s">
        <v>52</v>
      </c>
      <c r="H233" s="25" t="s">
        <v>94</v>
      </c>
      <c r="I233" s="16"/>
      <c r="J233" s="16"/>
    </row>
    <row r="234" spans="4:10">
      <c r="D234" s="25" t="s">
        <v>2065</v>
      </c>
      <c r="E234" s="27">
        <v>4096566.0071999999</v>
      </c>
      <c r="F234" s="25" t="s">
        <v>897</v>
      </c>
      <c r="G234" s="25" t="s">
        <v>52</v>
      </c>
      <c r="H234" s="25" t="s">
        <v>94</v>
      </c>
      <c r="I234" s="16"/>
      <c r="J234" s="16"/>
    </row>
    <row r="235" spans="4:10">
      <c r="D235" s="25" t="s">
        <v>2066</v>
      </c>
      <c r="E235" s="27">
        <v>4125293.3898</v>
      </c>
      <c r="F235" s="25" t="s">
        <v>897</v>
      </c>
      <c r="G235" s="25" t="s">
        <v>99</v>
      </c>
      <c r="H235" s="25" t="s">
        <v>125</v>
      </c>
      <c r="I235" s="16"/>
      <c r="J235" s="16"/>
    </row>
    <row r="236" spans="4:10">
      <c r="D236" s="25" t="s">
        <v>2067</v>
      </c>
      <c r="E236" s="27">
        <v>85972333.019819975</v>
      </c>
      <c r="F236" s="25" t="s">
        <v>897</v>
      </c>
      <c r="G236" s="25" t="s">
        <v>52</v>
      </c>
      <c r="H236" s="25" t="s">
        <v>125</v>
      </c>
      <c r="I236" s="16"/>
      <c r="J236" s="16"/>
    </row>
    <row r="237" spans="4:10">
      <c r="D237" s="25" t="s">
        <v>2068</v>
      </c>
      <c r="E237" s="27">
        <v>72580963.45964399</v>
      </c>
      <c r="F237" s="25" t="s">
        <v>897</v>
      </c>
      <c r="G237" s="25" t="s">
        <v>99</v>
      </c>
      <c r="H237" s="25" t="s">
        <v>56</v>
      </c>
      <c r="I237" s="16"/>
      <c r="J237" s="16"/>
    </row>
    <row r="238" spans="4:10">
      <c r="D238" s="25" t="s">
        <v>2069</v>
      </c>
      <c r="E238" s="27">
        <v>6232835.6478719991</v>
      </c>
      <c r="F238" s="25" t="s">
        <v>897</v>
      </c>
      <c r="G238" s="25" t="s">
        <v>99</v>
      </c>
      <c r="H238" s="25" t="s">
        <v>134</v>
      </c>
      <c r="I238" s="16"/>
      <c r="J238" s="16"/>
    </row>
    <row r="239" spans="4:10">
      <c r="D239" s="25" t="s">
        <v>2070</v>
      </c>
      <c r="E239" s="27">
        <v>31528559.345472001</v>
      </c>
      <c r="F239" s="25" t="s">
        <v>897</v>
      </c>
      <c r="G239" s="25" t="s">
        <v>133</v>
      </c>
      <c r="H239" s="25" t="s">
        <v>94</v>
      </c>
      <c r="I239" s="16"/>
      <c r="J239" s="16"/>
    </row>
    <row r="240" spans="4:10">
      <c r="D240" s="25" t="s">
        <v>2071</v>
      </c>
      <c r="E240" s="27">
        <v>99319849.019999981</v>
      </c>
      <c r="F240" s="25" t="s">
        <v>897</v>
      </c>
      <c r="G240" s="25" t="s">
        <v>52</v>
      </c>
      <c r="H240" s="25" t="s">
        <v>109</v>
      </c>
      <c r="I240" s="16"/>
      <c r="J240" s="16"/>
    </row>
    <row r="241" spans="4:10">
      <c r="D241" s="25" t="s">
        <v>2072</v>
      </c>
      <c r="E241" s="27">
        <v>3539696.4976799991</v>
      </c>
      <c r="F241" s="25" t="s">
        <v>897</v>
      </c>
      <c r="G241" s="25" t="s">
        <v>133</v>
      </c>
      <c r="H241" s="25" t="s">
        <v>94</v>
      </c>
      <c r="I241" s="16"/>
      <c r="J241" s="16"/>
    </row>
    <row r="242" spans="4:10">
      <c r="D242" s="25" t="s">
        <v>2073</v>
      </c>
      <c r="E242" s="27">
        <v>84478004.268839985</v>
      </c>
      <c r="F242" s="25" t="s">
        <v>897</v>
      </c>
      <c r="G242" s="25" t="s">
        <v>99</v>
      </c>
      <c r="H242" s="25" t="s">
        <v>109</v>
      </c>
      <c r="I242" s="16"/>
      <c r="J242" s="16"/>
    </row>
    <row r="243" spans="4:10">
      <c r="D243" s="25" t="s">
        <v>2074</v>
      </c>
      <c r="E243" s="27">
        <v>8796207.7097279988</v>
      </c>
      <c r="F243" s="25" t="s">
        <v>897</v>
      </c>
      <c r="G243" s="25" t="s">
        <v>133</v>
      </c>
      <c r="H243" s="25" t="s">
        <v>109</v>
      </c>
      <c r="I243" s="16"/>
      <c r="J243" s="16"/>
    </row>
    <row r="244" spans="4:10">
      <c r="D244" s="25" t="s">
        <v>2075</v>
      </c>
      <c r="E244" s="27">
        <v>101575077.91300799</v>
      </c>
      <c r="F244" s="25" t="s">
        <v>897</v>
      </c>
      <c r="G244" s="25" t="s">
        <v>52</v>
      </c>
      <c r="H244" s="25" t="s">
        <v>125</v>
      </c>
      <c r="I244" s="16"/>
      <c r="J244" s="16"/>
    </row>
    <row r="245" spans="4:10">
      <c r="D245" s="25" t="s">
        <v>2076</v>
      </c>
      <c r="E245" s="27">
        <v>4605726.2061599996</v>
      </c>
      <c r="F245" s="25" t="s">
        <v>897</v>
      </c>
      <c r="G245" s="25" t="s">
        <v>52</v>
      </c>
      <c r="H245" s="25" t="s">
        <v>134</v>
      </c>
      <c r="I245" s="16"/>
      <c r="J245" s="16"/>
    </row>
    <row r="246" spans="4:10">
      <c r="D246" s="25" t="s">
        <v>2077</v>
      </c>
      <c r="E246" s="27">
        <v>9885416.3486640006</v>
      </c>
      <c r="F246" s="25" t="s">
        <v>897</v>
      </c>
      <c r="G246" s="25" t="s">
        <v>52</v>
      </c>
      <c r="H246" s="25" t="s">
        <v>109</v>
      </c>
      <c r="I246" s="16"/>
      <c r="J246" s="16"/>
    </row>
    <row r="247" spans="4:10">
      <c r="D247" s="25" t="s">
        <v>2078</v>
      </c>
      <c r="E247" s="27">
        <v>8706888.5903999992</v>
      </c>
      <c r="F247" s="25" t="s">
        <v>897</v>
      </c>
      <c r="G247" s="25" t="s">
        <v>52</v>
      </c>
      <c r="H247" s="25" t="s">
        <v>89</v>
      </c>
      <c r="I247" s="16"/>
      <c r="J247" s="16"/>
    </row>
    <row r="248" spans="4:10">
      <c r="D248" s="25" t="s">
        <v>2079</v>
      </c>
      <c r="E248" s="27">
        <v>852570.1764</v>
      </c>
      <c r="F248" s="25" t="s">
        <v>897</v>
      </c>
      <c r="G248" s="25" t="s">
        <v>99</v>
      </c>
      <c r="H248" s="25" t="s">
        <v>109</v>
      </c>
      <c r="I248" s="16"/>
      <c r="J248" s="16"/>
    </row>
    <row r="249" spans="4:10">
      <c r="D249" s="25" t="s">
        <v>2080</v>
      </c>
      <c r="E249" s="27">
        <v>2154662.8326719999</v>
      </c>
      <c r="F249" s="25" t="s">
        <v>897</v>
      </c>
      <c r="G249" s="25" t="s">
        <v>99</v>
      </c>
      <c r="H249" s="25" t="s">
        <v>125</v>
      </c>
      <c r="I249" s="16"/>
      <c r="J249" s="16"/>
    </row>
    <row r="250" spans="4:10">
      <c r="D250" s="25" t="s">
        <v>2081</v>
      </c>
      <c r="E250" s="27">
        <v>15787693.677887999</v>
      </c>
      <c r="F250" s="25" t="s">
        <v>897</v>
      </c>
      <c r="G250" s="25" t="s">
        <v>99</v>
      </c>
      <c r="H250" s="25" t="s">
        <v>125</v>
      </c>
      <c r="I250" s="16"/>
      <c r="J250" s="16"/>
    </row>
    <row r="251" spans="4:10">
      <c r="D251" s="25" t="s">
        <v>2082</v>
      </c>
      <c r="E251" s="27">
        <v>24189605.747711994</v>
      </c>
      <c r="F251" s="25" t="s">
        <v>897</v>
      </c>
      <c r="G251" s="25" t="s">
        <v>99</v>
      </c>
      <c r="H251" s="25" t="s">
        <v>94</v>
      </c>
      <c r="I251" s="16"/>
      <c r="J251" s="16"/>
    </row>
    <row r="252" spans="4:10">
      <c r="D252" s="25" t="s">
        <v>2083</v>
      </c>
      <c r="E252" s="27">
        <v>3364945.6654079994</v>
      </c>
      <c r="F252" s="25" t="s">
        <v>897</v>
      </c>
      <c r="G252" s="25" t="s">
        <v>99</v>
      </c>
      <c r="H252" s="25" t="s">
        <v>94</v>
      </c>
      <c r="I252" s="16"/>
      <c r="J252" s="16"/>
    </row>
    <row r="253" spans="4:10">
      <c r="D253" s="25" t="s">
        <v>2084</v>
      </c>
      <c r="E253" s="27">
        <v>268276782.93839997</v>
      </c>
      <c r="F253" s="25" t="s">
        <v>897</v>
      </c>
      <c r="G253" s="25" t="s">
        <v>99</v>
      </c>
      <c r="H253" s="25" t="s">
        <v>89</v>
      </c>
      <c r="I253" s="16"/>
      <c r="J253" s="16"/>
    </row>
    <row r="254" spans="4:10">
      <c r="D254" s="25" t="s">
        <v>2085</v>
      </c>
      <c r="E254" s="27">
        <v>87497565.249599993</v>
      </c>
      <c r="F254" s="25" t="s">
        <v>897</v>
      </c>
      <c r="G254" s="25" t="s">
        <v>52</v>
      </c>
      <c r="H254" s="25" t="s">
        <v>56</v>
      </c>
      <c r="I254" s="16"/>
      <c r="J254" s="16"/>
    </row>
    <row r="255" spans="4:10">
      <c r="D255" s="25" t="s">
        <v>2086</v>
      </c>
      <c r="E255" s="27">
        <v>14651549.953919999</v>
      </c>
      <c r="F255" s="25" t="s">
        <v>897</v>
      </c>
      <c r="G255" s="25" t="s">
        <v>52</v>
      </c>
      <c r="H255" s="25" t="s">
        <v>89</v>
      </c>
      <c r="I255" s="16"/>
      <c r="J255" s="16"/>
    </row>
    <row r="256" spans="4:10">
      <c r="D256" s="25" t="s">
        <v>2087</v>
      </c>
      <c r="E256" s="27">
        <v>69885091.132415995</v>
      </c>
      <c r="F256" s="25" t="s">
        <v>897</v>
      </c>
      <c r="G256" s="25" t="s">
        <v>99</v>
      </c>
      <c r="H256" s="25" t="s">
        <v>109</v>
      </c>
      <c r="I256" s="16"/>
      <c r="J256" s="16"/>
    </row>
    <row r="257" spans="4:10">
      <c r="D257" s="25" t="s">
        <v>2088</v>
      </c>
      <c r="E257" s="27">
        <v>56975084.693520002</v>
      </c>
      <c r="F257" s="25" t="s">
        <v>897</v>
      </c>
      <c r="G257" s="25" t="s">
        <v>52</v>
      </c>
      <c r="H257" s="25" t="s">
        <v>56</v>
      </c>
      <c r="I257" s="16"/>
      <c r="J257" s="16"/>
    </row>
    <row r="258" spans="4:10">
      <c r="D258" s="25" t="s">
        <v>2089</v>
      </c>
      <c r="E258" s="27">
        <v>27969606.271619998</v>
      </c>
      <c r="F258" s="25" t="s">
        <v>897</v>
      </c>
      <c r="G258" s="25" t="s">
        <v>52</v>
      </c>
      <c r="H258" s="25" t="s">
        <v>125</v>
      </c>
      <c r="I258" s="16"/>
      <c r="J258" s="16"/>
    </row>
    <row r="259" spans="4:10">
      <c r="D259" s="25" t="s">
        <v>2090</v>
      </c>
      <c r="E259" s="27">
        <v>68930697.016272008</v>
      </c>
      <c r="F259" s="25" t="s">
        <v>897</v>
      </c>
      <c r="G259" s="25" t="s">
        <v>133</v>
      </c>
      <c r="H259" s="25" t="s">
        <v>56</v>
      </c>
      <c r="I259" s="16"/>
      <c r="J259" s="16"/>
    </row>
    <row r="260" spans="4:10">
      <c r="D260" s="25" t="s">
        <v>2091</v>
      </c>
      <c r="E260" s="27">
        <v>77885095.759379998</v>
      </c>
      <c r="F260" s="25" t="s">
        <v>897</v>
      </c>
      <c r="G260" s="25" t="s">
        <v>52</v>
      </c>
      <c r="H260" s="25" t="s">
        <v>89</v>
      </c>
      <c r="I260" s="16"/>
      <c r="J260" s="16"/>
    </row>
    <row r="261" spans="4:10">
      <c r="D261" s="25" t="s">
        <v>2092</v>
      </c>
      <c r="E261" s="27">
        <v>21764401.564835999</v>
      </c>
      <c r="F261" s="25" t="s">
        <v>897</v>
      </c>
      <c r="G261" s="25" t="s">
        <v>52</v>
      </c>
      <c r="H261" s="25" t="s">
        <v>94</v>
      </c>
      <c r="I261" s="16"/>
      <c r="J261" s="16"/>
    </row>
    <row r="262" spans="4:10">
      <c r="D262" s="25" t="s">
        <v>2093</v>
      </c>
      <c r="E262" s="27">
        <v>122336245.43011197</v>
      </c>
      <c r="F262" s="25" t="s">
        <v>897</v>
      </c>
      <c r="G262" s="25" t="s">
        <v>52</v>
      </c>
      <c r="H262" s="25" t="s">
        <v>94</v>
      </c>
      <c r="I262" s="16"/>
      <c r="J262" s="16"/>
    </row>
    <row r="263" spans="4:10">
      <c r="D263" s="25" t="s">
        <v>2094</v>
      </c>
      <c r="E263" s="27">
        <v>42380164.463615999</v>
      </c>
      <c r="F263" s="25" t="s">
        <v>897</v>
      </c>
      <c r="G263" s="25" t="s">
        <v>52</v>
      </c>
      <c r="H263" s="25" t="s">
        <v>94</v>
      </c>
      <c r="I263" s="16"/>
      <c r="J263" s="16"/>
    </row>
    <row r="264" spans="4:10">
      <c r="D264" s="25" t="s">
        <v>2095</v>
      </c>
      <c r="E264" s="27">
        <v>317372249.67359996</v>
      </c>
      <c r="F264" s="25" t="s">
        <v>897</v>
      </c>
      <c r="G264" s="25" t="s">
        <v>52</v>
      </c>
      <c r="H264" s="25" t="s">
        <v>89</v>
      </c>
      <c r="I264" s="16"/>
      <c r="J264" s="16"/>
    </row>
    <row r="265" spans="4:10">
      <c r="D265" s="25" t="s">
        <v>2096</v>
      </c>
      <c r="E265" s="27">
        <v>147999797.47727996</v>
      </c>
      <c r="F265" s="25" t="s">
        <v>897</v>
      </c>
      <c r="G265" s="25" t="s">
        <v>99</v>
      </c>
      <c r="H265" s="25" t="s">
        <v>94</v>
      </c>
      <c r="I265" s="16"/>
      <c r="J265" s="16"/>
    </row>
    <row r="266" spans="4:10">
      <c r="D266" s="25" t="s">
        <v>2097</v>
      </c>
      <c r="E266" s="27">
        <v>14824580.073047999</v>
      </c>
      <c r="F266" s="25" t="s">
        <v>897</v>
      </c>
      <c r="G266" s="25" t="s">
        <v>99</v>
      </c>
      <c r="H266" s="25" t="s">
        <v>89</v>
      </c>
      <c r="I266" s="16"/>
      <c r="J266" s="16"/>
    </row>
    <row r="267" spans="4:10">
      <c r="D267" s="25" t="s">
        <v>2098</v>
      </c>
      <c r="E267" s="27">
        <v>15086605.821143998</v>
      </c>
      <c r="F267" s="25" t="s">
        <v>897</v>
      </c>
      <c r="G267" s="25" t="s">
        <v>52</v>
      </c>
      <c r="H267" s="25" t="s">
        <v>56</v>
      </c>
      <c r="I267" s="16"/>
      <c r="J267" s="16"/>
    </row>
    <row r="268" spans="4:10">
      <c r="D268" s="25" t="s">
        <v>2099</v>
      </c>
      <c r="E268" s="27">
        <v>53630124.301319987</v>
      </c>
      <c r="F268" s="25" t="s">
        <v>897</v>
      </c>
      <c r="G268" s="25" t="s">
        <v>52</v>
      </c>
      <c r="H268" s="25" t="s">
        <v>56</v>
      </c>
      <c r="I268" s="16"/>
      <c r="J268" s="16"/>
    </row>
    <row r="269" spans="4:10">
      <c r="D269" s="25" t="s">
        <v>2100</v>
      </c>
      <c r="E269" s="27">
        <v>189829992.27191997</v>
      </c>
      <c r="F269" s="25" t="s">
        <v>897</v>
      </c>
      <c r="G269" s="25" t="s">
        <v>99</v>
      </c>
      <c r="H269" s="25" t="s">
        <v>94</v>
      </c>
      <c r="I269" s="16"/>
      <c r="J269" s="16"/>
    </row>
    <row r="270" spans="4:10">
      <c r="D270" s="25" t="s">
        <v>2101</v>
      </c>
      <c r="E270" s="27">
        <v>58274352.806399994</v>
      </c>
      <c r="F270" s="25" t="s">
        <v>897</v>
      </c>
      <c r="G270" s="25" t="s">
        <v>52</v>
      </c>
      <c r="H270" s="25" t="s">
        <v>125</v>
      </c>
      <c r="I270" s="16"/>
      <c r="J270" s="16"/>
    </row>
    <row r="271" spans="4:10">
      <c r="D271" s="25" t="s">
        <v>2102</v>
      </c>
      <c r="E271" s="27">
        <v>144530018.38692001</v>
      </c>
      <c r="F271" s="25" t="s">
        <v>897</v>
      </c>
      <c r="G271" s="25" t="s">
        <v>99</v>
      </c>
      <c r="H271" s="25" t="s">
        <v>134</v>
      </c>
      <c r="I271" s="16"/>
      <c r="J271" s="16"/>
    </row>
    <row r="272" spans="4:10">
      <c r="D272" s="25" t="s">
        <v>2103</v>
      </c>
      <c r="E272" s="27">
        <v>64730342.819519989</v>
      </c>
      <c r="F272" s="25" t="s">
        <v>897</v>
      </c>
      <c r="G272" s="25" t="s">
        <v>99</v>
      </c>
      <c r="H272" s="25" t="s">
        <v>89</v>
      </c>
      <c r="I272" s="16"/>
      <c r="J272" s="16"/>
    </row>
    <row r="273" spans="4:10">
      <c r="D273" s="25" t="s">
        <v>2104</v>
      </c>
      <c r="E273" s="27">
        <v>2007270.7010880001</v>
      </c>
      <c r="F273" s="25" t="s">
        <v>897</v>
      </c>
      <c r="G273" s="25" t="s">
        <v>52</v>
      </c>
      <c r="H273" s="25" t="s">
        <v>94</v>
      </c>
      <c r="I273" s="16"/>
      <c r="J273" s="16"/>
    </row>
    <row r="274" spans="4:10">
      <c r="D274" s="25" t="s">
        <v>2105</v>
      </c>
      <c r="E274" s="27">
        <v>243001810.28244001</v>
      </c>
      <c r="F274" s="25" t="s">
        <v>897</v>
      </c>
      <c r="G274" s="25" t="s">
        <v>52</v>
      </c>
      <c r="H274" s="25" t="s">
        <v>109</v>
      </c>
      <c r="I274" s="16"/>
      <c r="J274" s="16"/>
    </row>
    <row r="275" spans="4:10">
      <c r="D275" s="25" t="s">
        <v>2106</v>
      </c>
      <c r="E275" s="27">
        <v>139602742.57987201</v>
      </c>
      <c r="F275" s="25" t="s">
        <v>897</v>
      </c>
      <c r="G275" s="25" t="s">
        <v>133</v>
      </c>
      <c r="H275" s="25" t="s">
        <v>94</v>
      </c>
      <c r="I275" s="16"/>
      <c r="J275" s="16"/>
    </row>
    <row r="276" spans="4:10">
      <c r="D276" s="25" t="s">
        <v>2107</v>
      </c>
      <c r="E276" s="27">
        <v>58517297.896500006</v>
      </c>
      <c r="F276" s="25" t="s">
        <v>897</v>
      </c>
      <c r="G276" s="25" t="s">
        <v>99</v>
      </c>
      <c r="H276" s="25" t="s">
        <v>125</v>
      </c>
      <c r="I276" s="16"/>
      <c r="J276" s="16"/>
    </row>
    <row r="277" spans="4:10">
      <c r="D277" s="25" t="s">
        <v>2108</v>
      </c>
      <c r="E277" s="27">
        <v>219201907.93113595</v>
      </c>
      <c r="F277" s="25" t="s">
        <v>897</v>
      </c>
      <c r="G277" s="25" t="s">
        <v>52</v>
      </c>
      <c r="H277" s="25" t="s">
        <v>109</v>
      </c>
      <c r="I277" s="16"/>
      <c r="J277" s="16"/>
    </row>
    <row r="278" spans="4:10">
      <c r="D278" s="25" t="s">
        <v>2109</v>
      </c>
      <c r="E278" s="27">
        <v>65143401.712187991</v>
      </c>
      <c r="F278" s="25" t="s">
        <v>897</v>
      </c>
      <c r="G278" s="25" t="s">
        <v>52</v>
      </c>
      <c r="H278" s="25" t="s">
        <v>109</v>
      </c>
      <c r="I278" s="16"/>
      <c r="J278" s="16"/>
    </row>
    <row r="279" spans="4:10">
      <c r="D279" s="25" t="s">
        <v>2110</v>
      </c>
      <c r="E279" s="27">
        <v>77430755.086920008</v>
      </c>
      <c r="F279" s="25" t="s">
        <v>897</v>
      </c>
      <c r="G279" s="25" t="s">
        <v>52</v>
      </c>
      <c r="H279" s="25" t="s">
        <v>134</v>
      </c>
      <c r="I279" s="16"/>
      <c r="J279" s="16"/>
    </row>
    <row r="280" spans="4:10">
      <c r="D280" s="25" t="s">
        <v>2111</v>
      </c>
      <c r="E280" s="27">
        <v>49006385.149535999</v>
      </c>
      <c r="F280" s="25" t="s">
        <v>897</v>
      </c>
      <c r="G280" s="25" t="s">
        <v>52</v>
      </c>
      <c r="H280" s="25" t="s">
        <v>89</v>
      </c>
      <c r="I280" s="16"/>
      <c r="J280" s="16"/>
    </row>
    <row r="281" spans="4:10">
      <c r="D281" s="25" t="s">
        <v>2112</v>
      </c>
      <c r="E281" s="27">
        <v>50876828.919</v>
      </c>
      <c r="F281" s="25" t="s">
        <v>897</v>
      </c>
      <c r="G281" s="25" t="s">
        <v>99</v>
      </c>
      <c r="H281" s="25" t="s">
        <v>109</v>
      </c>
      <c r="I281" s="16"/>
      <c r="J281" s="16"/>
    </row>
    <row r="282" spans="4:10">
      <c r="D282" s="25" t="s">
        <v>2113</v>
      </c>
      <c r="E282" s="27">
        <v>136020815.15328002</v>
      </c>
      <c r="F282" s="25" t="s">
        <v>897</v>
      </c>
      <c r="G282" s="25" t="s">
        <v>52</v>
      </c>
      <c r="H282" s="25" t="s">
        <v>125</v>
      </c>
      <c r="I282" s="16"/>
      <c r="J282" s="16"/>
    </row>
    <row r="283" spans="4:10">
      <c r="D283" s="25" t="s">
        <v>2114</v>
      </c>
      <c r="E283" s="27">
        <v>267200689.16735995</v>
      </c>
      <c r="F283" s="25" t="s">
        <v>897</v>
      </c>
      <c r="G283" s="25" t="s">
        <v>52</v>
      </c>
      <c r="H283" s="25" t="s">
        <v>125</v>
      </c>
      <c r="I283" s="16"/>
      <c r="J283" s="16"/>
    </row>
    <row r="284" spans="4:10">
      <c r="D284" s="25" t="s">
        <v>2115</v>
      </c>
      <c r="E284" s="27">
        <v>141984793.83950397</v>
      </c>
      <c r="F284" s="25" t="s">
        <v>897</v>
      </c>
      <c r="G284" s="25" t="s">
        <v>52</v>
      </c>
      <c r="H284" s="25" t="s">
        <v>109</v>
      </c>
      <c r="I284" s="16"/>
      <c r="J284" s="16"/>
    </row>
    <row r="285" spans="4:10">
      <c r="D285" s="25" t="s">
        <v>2116</v>
      </c>
      <c r="E285" s="27">
        <v>69735519.116999984</v>
      </c>
      <c r="F285" s="25" t="s">
        <v>897</v>
      </c>
      <c r="G285" s="25" t="s">
        <v>99</v>
      </c>
      <c r="H285" s="25" t="s">
        <v>134</v>
      </c>
      <c r="I285" s="16"/>
      <c r="J285" s="16"/>
    </row>
    <row r="286" spans="4:10">
      <c r="D286" s="25" t="s">
        <v>2117</v>
      </c>
      <c r="E286" s="27">
        <v>1371536.3249279999</v>
      </c>
      <c r="F286" s="25" t="s">
        <v>897</v>
      </c>
      <c r="G286" s="25" t="s">
        <v>52</v>
      </c>
      <c r="H286" s="25" t="s">
        <v>134</v>
      </c>
      <c r="I286" s="16"/>
      <c r="J286" s="16"/>
    </row>
    <row r="287" spans="4:10">
      <c r="D287" s="25" t="s">
        <v>2118</v>
      </c>
      <c r="E287" s="27">
        <v>9722007.5581439976</v>
      </c>
      <c r="F287" s="25" t="s">
        <v>897</v>
      </c>
      <c r="G287" s="25" t="s">
        <v>133</v>
      </c>
      <c r="H287" s="25" t="s">
        <v>56</v>
      </c>
      <c r="I287" s="16"/>
      <c r="J287" s="16"/>
    </row>
    <row r="288" spans="4:10">
      <c r="D288" s="25" t="s">
        <v>2119</v>
      </c>
      <c r="E288" s="27">
        <v>113681053.50747599</v>
      </c>
      <c r="F288" s="25" t="s">
        <v>897</v>
      </c>
      <c r="G288" s="25" t="s">
        <v>99</v>
      </c>
      <c r="H288" s="25" t="s">
        <v>134</v>
      </c>
      <c r="I288" s="16"/>
      <c r="J288" s="16"/>
    </row>
    <row r="289" spans="4:10">
      <c r="D289" s="25" t="s">
        <v>2120</v>
      </c>
      <c r="E289" s="27">
        <v>19922513.022719994</v>
      </c>
      <c r="F289" s="25" t="s">
        <v>897</v>
      </c>
      <c r="G289" s="25" t="s">
        <v>99</v>
      </c>
      <c r="H289" s="25" t="s">
        <v>125</v>
      </c>
      <c r="I289" s="16"/>
      <c r="J289" s="16"/>
    </row>
    <row r="290" spans="4:10">
      <c r="D290" s="25" t="s">
        <v>2121</v>
      </c>
      <c r="E290" s="27">
        <v>1364571.4751999998</v>
      </c>
      <c r="F290" s="25" t="s">
        <v>897</v>
      </c>
      <c r="G290" s="25" t="s">
        <v>99</v>
      </c>
      <c r="H290" s="25" t="s">
        <v>134</v>
      </c>
      <c r="I290" s="16"/>
      <c r="J290" s="16"/>
    </row>
    <row r="291" spans="4:10">
      <c r="D291" s="25" t="s">
        <v>2122</v>
      </c>
      <c r="E291" s="27">
        <v>11523122.3862</v>
      </c>
      <c r="F291" s="25" t="s">
        <v>897</v>
      </c>
      <c r="G291" s="25" t="s">
        <v>99</v>
      </c>
      <c r="H291" s="25" t="s">
        <v>89</v>
      </c>
      <c r="I291" s="16"/>
      <c r="J291" s="16"/>
    </row>
    <row r="292" spans="4:10">
      <c r="D292" s="25" t="s">
        <v>2123</v>
      </c>
      <c r="E292" s="27">
        <v>9469586.1144959982</v>
      </c>
      <c r="F292" s="25" t="s">
        <v>897</v>
      </c>
      <c r="G292" s="25" t="s">
        <v>99</v>
      </c>
      <c r="H292" s="25" t="s">
        <v>56</v>
      </c>
      <c r="I292" s="16"/>
      <c r="J292" s="16"/>
    </row>
    <row r="293" spans="4:10">
      <c r="D293" s="25" t="s">
        <v>2124</v>
      </c>
      <c r="E293" s="27">
        <v>133984970.286336</v>
      </c>
      <c r="F293" s="25" t="s">
        <v>897</v>
      </c>
      <c r="G293" s="25" t="s">
        <v>52</v>
      </c>
      <c r="H293" s="25" t="s">
        <v>134</v>
      </c>
      <c r="I293" s="16"/>
      <c r="J293" s="16"/>
    </row>
    <row r="294" spans="4:10">
      <c r="D294" s="25" t="s">
        <v>2125</v>
      </c>
      <c r="E294" s="27">
        <v>46499846.515583992</v>
      </c>
      <c r="F294" s="25" t="s">
        <v>897</v>
      </c>
      <c r="G294" s="25" t="s">
        <v>99</v>
      </c>
      <c r="H294" s="25" t="s">
        <v>56</v>
      </c>
      <c r="I294" s="16"/>
      <c r="J294" s="16"/>
    </row>
    <row r="295" spans="4:10">
      <c r="D295" s="25" t="s">
        <v>2126</v>
      </c>
      <c r="E295" s="27">
        <v>7760302.6904999986</v>
      </c>
      <c r="F295" s="25" t="s">
        <v>897</v>
      </c>
      <c r="G295" s="25" t="s">
        <v>133</v>
      </c>
      <c r="H295" s="25" t="s">
        <v>89</v>
      </c>
      <c r="I295" s="16"/>
      <c r="J295" s="16"/>
    </row>
    <row r="296" spans="4:10">
      <c r="D296" s="25" t="s">
        <v>2127</v>
      </c>
      <c r="E296" s="27">
        <v>31537331.352936</v>
      </c>
      <c r="F296" s="25" t="s">
        <v>897</v>
      </c>
      <c r="G296" s="25" t="s">
        <v>99</v>
      </c>
      <c r="H296" s="25" t="s">
        <v>56</v>
      </c>
      <c r="I296" s="16"/>
      <c r="J296" s="16"/>
    </row>
    <row r="297" spans="4:10">
      <c r="D297" s="25" t="s">
        <v>2128</v>
      </c>
      <c r="E297" s="27">
        <v>110312314.61039999</v>
      </c>
      <c r="F297" s="25" t="s">
        <v>897</v>
      </c>
      <c r="G297" s="25" t="s">
        <v>133</v>
      </c>
      <c r="H297" s="25" t="s">
        <v>94</v>
      </c>
      <c r="I297" s="16"/>
      <c r="J297" s="16"/>
    </row>
    <row r="298" spans="4:10">
      <c r="D298" s="25" t="s">
        <v>2129</v>
      </c>
      <c r="E298" s="27">
        <v>35386664.368895993</v>
      </c>
      <c r="F298" s="25" t="s">
        <v>897</v>
      </c>
      <c r="G298" s="25" t="s">
        <v>133</v>
      </c>
      <c r="H298" s="25" t="s">
        <v>94</v>
      </c>
      <c r="I298" s="16"/>
      <c r="J298" s="16"/>
    </row>
    <row r="299" spans="4:10">
      <c r="D299" s="25" t="s">
        <v>2130</v>
      </c>
      <c r="E299" s="27">
        <v>16643503.38768</v>
      </c>
      <c r="F299" s="25" t="s">
        <v>897</v>
      </c>
      <c r="G299" s="25" t="s">
        <v>99</v>
      </c>
      <c r="H299" s="25" t="s">
        <v>125</v>
      </c>
      <c r="I299" s="16"/>
      <c r="J299" s="16"/>
    </row>
    <row r="300" spans="4:10">
      <c r="D300" s="25" t="s">
        <v>2131</v>
      </c>
      <c r="E300" s="27">
        <v>18265288.819499999</v>
      </c>
      <c r="F300" s="25" t="s">
        <v>897</v>
      </c>
      <c r="G300" s="25" t="s">
        <v>52</v>
      </c>
      <c r="H300" s="25" t="s">
        <v>109</v>
      </c>
      <c r="I300" s="16"/>
      <c r="J300" s="16"/>
    </row>
    <row r="301" spans="4:10">
      <c r="D301" s="25" t="s">
        <v>2132</v>
      </c>
      <c r="E301" s="27">
        <v>251497659.70929596</v>
      </c>
      <c r="F301" s="25" t="s">
        <v>897</v>
      </c>
      <c r="G301" s="25" t="s">
        <v>99</v>
      </c>
      <c r="H301" s="25" t="s">
        <v>125</v>
      </c>
      <c r="I301" s="16"/>
      <c r="J301" s="16"/>
    </row>
    <row r="302" spans="4:10">
      <c r="D302" s="25" t="s">
        <v>2133</v>
      </c>
      <c r="E302" s="27">
        <v>24741877.093559995</v>
      </c>
      <c r="F302" s="25" t="s">
        <v>897</v>
      </c>
      <c r="G302" s="25" t="s">
        <v>52</v>
      </c>
      <c r="H302" s="25" t="s">
        <v>109</v>
      </c>
      <c r="I302" s="16"/>
      <c r="J302" s="16"/>
    </row>
    <row r="303" spans="4:10">
      <c r="D303" s="25" t="s">
        <v>2134</v>
      </c>
      <c r="E303" s="27">
        <v>90756176.40249598</v>
      </c>
      <c r="F303" s="25" t="s">
        <v>897</v>
      </c>
      <c r="G303" s="25" t="s">
        <v>99</v>
      </c>
      <c r="H303" s="25" t="s">
        <v>56</v>
      </c>
      <c r="I303" s="16"/>
      <c r="J303" s="16"/>
    </row>
    <row r="304" spans="4:10">
      <c r="D304" s="25" t="s">
        <v>2135</v>
      </c>
      <c r="E304" s="27">
        <v>177805088.38713598</v>
      </c>
      <c r="F304" s="25" t="s">
        <v>897</v>
      </c>
      <c r="G304" s="25" t="s">
        <v>52</v>
      </c>
      <c r="H304" s="25" t="s">
        <v>109</v>
      </c>
      <c r="I304" s="16"/>
      <c r="J304" s="16"/>
    </row>
    <row r="305" spans="4:10">
      <c r="D305" s="25" t="s">
        <v>2136</v>
      </c>
      <c r="E305" s="27">
        <v>139757593.48523998</v>
      </c>
      <c r="F305" s="25" t="s">
        <v>897</v>
      </c>
      <c r="G305" s="25" t="s">
        <v>133</v>
      </c>
      <c r="H305" s="25" t="s">
        <v>125</v>
      </c>
      <c r="I305" s="16"/>
      <c r="J305" s="16"/>
    </row>
    <row r="306" spans="4:10">
      <c r="D306" s="25" t="s">
        <v>2137</v>
      </c>
      <c r="E306" s="27">
        <v>3742793.5530239986</v>
      </c>
      <c r="F306" s="25" t="s">
        <v>897</v>
      </c>
      <c r="G306" s="25" t="s">
        <v>99</v>
      </c>
      <c r="H306" s="25" t="s">
        <v>56</v>
      </c>
      <c r="I306" s="16"/>
      <c r="J306" s="16"/>
    </row>
    <row r="307" spans="4:10">
      <c r="D307" s="25" t="s">
        <v>2138</v>
      </c>
      <c r="E307" s="27">
        <v>13075498.113467999</v>
      </c>
      <c r="F307" s="25" t="s">
        <v>897</v>
      </c>
      <c r="G307" s="25" t="s">
        <v>52</v>
      </c>
      <c r="H307" s="25" t="s">
        <v>109</v>
      </c>
      <c r="I307" s="16"/>
      <c r="J307" s="16"/>
    </row>
    <row r="308" spans="4:10">
      <c r="D308" s="25" t="s">
        <v>2139</v>
      </c>
      <c r="E308" s="27">
        <v>5830788.3914879989</v>
      </c>
      <c r="F308" s="25" t="s">
        <v>897</v>
      </c>
      <c r="G308" s="25" t="s">
        <v>52</v>
      </c>
      <c r="H308" s="25" t="s">
        <v>94</v>
      </c>
      <c r="I308" s="16"/>
      <c r="J308" s="16"/>
    </row>
    <row r="309" spans="4:10">
      <c r="D309" s="25" t="s">
        <v>2140</v>
      </c>
      <c r="E309" s="27">
        <v>31722688.406016</v>
      </c>
      <c r="F309" s="25" t="s">
        <v>897</v>
      </c>
      <c r="G309" s="25" t="s">
        <v>99</v>
      </c>
      <c r="H309" s="25" t="s">
        <v>89</v>
      </c>
      <c r="I309" s="16"/>
      <c r="J309" s="16"/>
    </row>
    <row r="310" spans="4:10">
      <c r="D310" s="25" t="s">
        <v>2141</v>
      </c>
      <c r="E310" s="27">
        <v>150355846.14767998</v>
      </c>
      <c r="F310" s="25" t="s">
        <v>897</v>
      </c>
      <c r="G310" s="25" t="s">
        <v>52</v>
      </c>
      <c r="H310" s="25" t="s">
        <v>89</v>
      </c>
      <c r="I310" s="16"/>
      <c r="J310" s="16"/>
    </row>
    <row r="311" spans="4:10">
      <c r="D311" s="25" t="s">
        <v>2142</v>
      </c>
      <c r="E311" s="27">
        <v>182387850.005088</v>
      </c>
      <c r="F311" s="25" t="s">
        <v>897</v>
      </c>
      <c r="G311" s="25" t="s">
        <v>99</v>
      </c>
      <c r="H311" s="25" t="s">
        <v>56</v>
      </c>
      <c r="I311" s="16"/>
      <c r="J311" s="16"/>
    </row>
    <row r="312" spans="4:10">
      <c r="D312" s="25" t="s">
        <v>2143</v>
      </c>
      <c r="E312" s="27">
        <v>88862378.707296014</v>
      </c>
      <c r="F312" s="25" t="s">
        <v>897</v>
      </c>
      <c r="G312" s="25" t="s">
        <v>133</v>
      </c>
      <c r="H312" s="25" t="s">
        <v>89</v>
      </c>
      <c r="I312" s="16"/>
      <c r="J312" s="16"/>
    </row>
    <row r="313" spans="4:10">
      <c r="D313" s="25" t="s">
        <v>2144</v>
      </c>
      <c r="E313" s="27">
        <v>26433489.079296</v>
      </c>
      <c r="F313" s="25" t="s">
        <v>897</v>
      </c>
      <c r="G313" s="25" t="s">
        <v>52</v>
      </c>
      <c r="H313" s="25" t="s">
        <v>109</v>
      </c>
      <c r="I313" s="16"/>
      <c r="J313" s="16"/>
    </row>
    <row r="314" spans="4:10">
      <c r="D314" s="25" t="s">
        <v>2145</v>
      </c>
      <c r="E314" s="27">
        <v>4465376.650799999</v>
      </c>
      <c r="F314" s="25" t="s">
        <v>897</v>
      </c>
      <c r="G314" s="25" t="s">
        <v>52</v>
      </c>
      <c r="H314" s="25" t="s">
        <v>134</v>
      </c>
      <c r="I314" s="16"/>
      <c r="J314" s="16"/>
    </row>
    <row r="315" spans="4:10">
      <c r="D315" s="25" t="s">
        <v>2146</v>
      </c>
      <c r="E315" s="27">
        <v>55247138.533080004</v>
      </c>
      <c r="F315" s="25" t="s">
        <v>897</v>
      </c>
      <c r="G315" s="25" t="s">
        <v>52</v>
      </c>
      <c r="H315" s="25" t="s">
        <v>134</v>
      </c>
      <c r="I315" s="16"/>
      <c r="J315" s="16"/>
    </row>
    <row r="316" spans="4:10">
      <c r="D316" s="25" t="s">
        <v>2147</v>
      </c>
      <c r="E316" s="27">
        <v>1245533.6378520001</v>
      </c>
      <c r="F316" s="25" t="s">
        <v>897</v>
      </c>
      <c r="G316" s="25" t="s">
        <v>52</v>
      </c>
      <c r="H316" s="25" t="s">
        <v>109</v>
      </c>
      <c r="I316" s="16"/>
      <c r="J316" s="16"/>
    </row>
    <row r="317" spans="4:10">
      <c r="D317" s="25" t="s">
        <v>2148</v>
      </c>
      <c r="E317" s="27">
        <v>54771207.434280008</v>
      </c>
      <c r="F317" s="25" t="s">
        <v>897</v>
      </c>
      <c r="G317" s="25" t="s">
        <v>52</v>
      </c>
      <c r="H317" s="25" t="s">
        <v>109</v>
      </c>
      <c r="I317" s="16"/>
      <c r="J317" s="16"/>
    </row>
    <row r="318" spans="4:10">
      <c r="D318" s="25" t="s">
        <v>2149</v>
      </c>
      <c r="E318" s="27">
        <v>9281777.7640319988</v>
      </c>
      <c r="F318" s="25" t="s">
        <v>897</v>
      </c>
      <c r="G318" s="25" t="s">
        <v>52</v>
      </c>
      <c r="H318" s="25" t="s">
        <v>89</v>
      </c>
      <c r="I318" s="16"/>
      <c r="J318" s="16"/>
    </row>
    <row r="319" spans="4:10">
      <c r="D319" s="25" t="s">
        <v>2150</v>
      </c>
      <c r="E319" s="27">
        <v>223674556.83955199</v>
      </c>
      <c r="F319" s="25" t="s">
        <v>897</v>
      </c>
      <c r="G319" s="25" t="s">
        <v>99</v>
      </c>
      <c r="H319" s="25" t="s">
        <v>56</v>
      </c>
      <c r="I319" s="16"/>
      <c r="J319" s="16"/>
    </row>
    <row r="320" spans="4:10">
      <c r="D320" s="25" t="s">
        <v>2151</v>
      </c>
      <c r="E320" s="27">
        <v>13218267.270719999</v>
      </c>
      <c r="F320" s="25" t="s">
        <v>897</v>
      </c>
      <c r="G320" s="25" t="s">
        <v>133</v>
      </c>
      <c r="H320" s="25" t="s">
        <v>134</v>
      </c>
      <c r="I320" s="16"/>
      <c r="J320" s="16"/>
    </row>
    <row r="321" spans="4:10">
      <c r="D321" s="25" t="s">
        <v>2152</v>
      </c>
      <c r="E321" s="27">
        <v>150631708.13496</v>
      </c>
      <c r="F321" s="25" t="s">
        <v>897</v>
      </c>
      <c r="G321" s="25" t="s">
        <v>52</v>
      </c>
      <c r="H321" s="25" t="s">
        <v>89</v>
      </c>
      <c r="I321" s="16"/>
      <c r="J321" s="16"/>
    </row>
    <row r="322" spans="4:10">
      <c r="D322" s="25" t="s">
        <v>2153</v>
      </c>
      <c r="E322" s="27">
        <v>115762.16206800001</v>
      </c>
      <c r="F322" s="25" t="s">
        <v>897</v>
      </c>
      <c r="G322" s="25" t="s">
        <v>99</v>
      </c>
      <c r="H322" s="25" t="s">
        <v>125</v>
      </c>
      <c r="I322" s="16"/>
      <c r="J322" s="16"/>
    </row>
    <row r="323" spans="4:10">
      <c r="D323" s="25" t="s">
        <v>2154</v>
      </c>
      <c r="E323" s="27">
        <v>123857272.63147201</v>
      </c>
      <c r="F323" s="25" t="s">
        <v>897</v>
      </c>
      <c r="G323" s="25" t="s">
        <v>99</v>
      </c>
      <c r="H323" s="25" t="s">
        <v>134</v>
      </c>
      <c r="I323" s="16"/>
      <c r="J323" s="16"/>
    </row>
    <row r="324" spans="4:10">
      <c r="D324" s="25" t="s">
        <v>2155</v>
      </c>
      <c r="E324" s="27">
        <v>15358157.393075999</v>
      </c>
      <c r="F324" s="25" t="s">
        <v>897</v>
      </c>
      <c r="G324" s="25" t="s">
        <v>52</v>
      </c>
      <c r="H324" s="25" t="s">
        <v>134</v>
      </c>
      <c r="I324" s="16"/>
      <c r="J324" s="16"/>
    </row>
    <row r="325" spans="4:10">
      <c r="D325" s="25" t="s">
        <v>2156</v>
      </c>
      <c r="E325" s="27">
        <v>12382927.793711999</v>
      </c>
      <c r="F325" s="25" t="s">
        <v>897</v>
      </c>
      <c r="G325" s="25" t="s">
        <v>52</v>
      </c>
      <c r="H325" s="25" t="s">
        <v>109</v>
      </c>
      <c r="I325" s="16"/>
      <c r="J325" s="16"/>
    </row>
    <row r="326" spans="4:10">
      <c r="D326" s="25" t="s">
        <v>2157</v>
      </c>
      <c r="E326" s="27">
        <v>23521529.398908</v>
      </c>
      <c r="F326" s="25" t="s">
        <v>897</v>
      </c>
      <c r="G326" s="25" t="s">
        <v>99</v>
      </c>
      <c r="H326" s="25" t="s">
        <v>109</v>
      </c>
      <c r="I326" s="16"/>
      <c r="J326" s="16"/>
    </row>
    <row r="327" spans="4:10">
      <c r="D327" s="25" t="s">
        <v>2158</v>
      </c>
      <c r="E327" s="27">
        <v>61348387.838399991</v>
      </c>
      <c r="F327" s="25" t="s">
        <v>897</v>
      </c>
      <c r="G327" s="25" t="s">
        <v>52</v>
      </c>
      <c r="H327" s="25" t="s">
        <v>109</v>
      </c>
      <c r="I327" s="16"/>
      <c r="J327" s="16"/>
    </row>
    <row r="328" spans="4:10">
      <c r="D328" s="25" t="s">
        <v>2159</v>
      </c>
      <c r="E328" s="27">
        <v>89651279.412</v>
      </c>
      <c r="F328" s="25" t="s">
        <v>897</v>
      </c>
      <c r="G328" s="25" t="s">
        <v>99</v>
      </c>
      <c r="H328" s="25" t="s">
        <v>109</v>
      </c>
      <c r="I328" s="16"/>
      <c r="J328" s="16"/>
    </row>
    <row r="329" spans="4:10">
      <c r="D329" s="25" t="s">
        <v>2160</v>
      </c>
      <c r="E329" s="27">
        <v>11825434.784076</v>
      </c>
      <c r="F329" s="25" t="s">
        <v>897</v>
      </c>
      <c r="G329" s="25" t="s">
        <v>99</v>
      </c>
      <c r="H329" s="25" t="s">
        <v>94</v>
      </c>
      <c r="I329" s="16"/>
      <c r="J329" s="16"/>
    </row>
    <row r="330" spans="4:10">
      <c r="D330" s="25" t="s">
        <v>2161</v>
      </c>
      <c r="E330" s="27">
        <v>50547721.221647993</v>
      </c>
      <c r="F330" s="25" t="s">
        <v>897</v>
      </c>
      <c r="G330" s="25" t="s">
        <v>52</v>
      </c>
      <c r="H330" s="25" t="s">
        <v>125</v>
      </c>
      <c r="I330" s="16"/>
      <c r="J330" s="16"/>
    </row>
    <row r="331" spans="4:10">
      <c r="D331" s="25" t="s">
        <v>2162</v>
      </c>
      <c r="E331" s="27">
        <v>6102894.4739279989</v>
      </c>
      <c r="F331" s="25" t="s">
        <v>897</v>
      </c>
      <c r="G331" s="25" t="s">
        <v>133</v>
      </c>
      <c r="H331" s="25" t="s">
        <v>56</v>
      </c>
      <c r="I331" s="16"/>
      <c r="J331" s="16"/>
    </row>
    <row r="332" spans="4:10">
      <c r="D332" s="25" t="s">
        <v>2163</v>
      </c>
      <c r="E332" s="27">
        <v>144567953.549196</v>
      </c>
      <c r="F332" s="25" t="s">
        <v>897</v>
      </c>
      <c r="G332" s="25" t="s">
        <v>52</v>
      </c>
      <c r="H332" s="25" t="s">
        <v>94</v>
      </c>
      <c r="I332" s="16"/>
      <c r="J332" s="16"/>
    </row>
    <row r="333" spans="4:10">
      <c r="D333" s="25" t="s">
        <v>2164</v>
      </c>
      <c r="E333" s="27">
        <v>8567305.8913199976</v>
      </c>
      <c r="F333" s="25" t="s">
        <v>897</v>
      </c>
      <c r="G333" s="25" t="s">
        <v>52</v>
      </c>
      <c r="H333" s="25" t="s">
        <v>134</v>
      </c>
      <c r="I333" s="16"/>
      <c r="J333" s="16"/>
    </row>
    <row r="334" spans="4:10">
      <c r="D334" s="25" t="s">
        <v>2165</v>
      </c>
      <c r="E334" s="27">
        <v>31842120.324479997</v>
      </c>
      <c r="F334" s="25" t="s">
        <v>897</v>
      </c>
      <c r="G334" s="25" t="s">
        <v>52</v>
      </c>
      <c r="H334" s="25" t="s">
        <v>134</v>
      </c>
      <c r="I334" s="16"/>
      <c r="J334" s="16"/>
    </row>
    <row r="335" spans="4:10">
      <c r="D335" s="25" t="s">
        <v>2166</v>
      </c>
      <c r="E335" s="27">
        <v>9741721.9133519996</v>
      </c>
      <c r="F335" s="25" t="s">
        <v>897</v>
      </c>
      <c r="G335" s="25" t="s">
        <v>52</v>
      </c>
      <c r="H335" s="25" t="s">
        <v>94</v>
      </c>
      <c r="I335" s="16"/>
      <c r="J335" s="16"/>
    </row>
    <row r="336" spans="4:10">
      <c r="D336" s="25" t="s">
        <v>2167</v>
      </c>
      <c r="E336" s="27">
        <v>14806560.211968001</v>
      </c>
      <c r="F336" s="25" t="s">
        <v>897</v>
      </c>
      <c r="G336" s="25" t="s">
        <v>52</v>
      </c>
      <c r="H336" s="25" t="s">
        <v>134</v>
      </c>
      <c r="I336" s="16"/>
      <c r="J336" s="16"/>
    </row>
    <row r="337" spans="4:10">
      <c r="D337" s="25" t="s">
        <v>2168</v>
      </c>
      <c r="E337" s="27">
        <v>10165796.601599999</v>
      </c>
      <c r="F337" s="25" t="s">
        <v>897</v>
      </c>
      <c r="G337" s="25" t="s">
        <v>52</v>
      </c>
      <c r="H337" s="25" t="s">
        <v>94</v>
      </c>
      <c r="I337" s="16"/>
      <c r="J337" s="16"/>
    </row>
    <row r="338" spans="4:10">
      <c r="D338" s="25" t="s">
        <v>2169</v>
      </c>
      <c r="E338" s="27">
        <v>28830527.565839998</v>
      </c>
      <c r="F338" s="25" t="s">
        <v>897</v>
      </c>
      <c r="G338" s="25" t="s">
        <v>52</v>
      </c>
      <c r="H338" s="25" t="s">
        <v>109</v>
      </c>
      <c r="I338" s="16"/>
      <c r="J338" s="16"/>
    </row>
    <row r="339" spans="4:10">
      <c r="D339" s="25" t="s">
        <v>2170</v>
      </c>
      <c r="E339" s="27">
        <v>136350314.638776</v>
      </c>
      <c r="F339" s="25" t="s">
        <v>897</v>
      </c>
      <c r="G339" s="25" t="s">
        <v>52</v>
      </c>
      <c r="H339" s="25" t="s">
        <v>134</v>
      </c>
      <c r="I339" s="16"/>
      <c r="J339" s="16"/>
    </row>
    <row r="340" spans="4:10">
      <c r="D340" s="25" t="s">
        <v>2171</v>
      </c>
      <c r="E340" s="27">
        <v>351630963.24494392</v>
      </c>
      <c r="F340" s="25" t="s">
        <v>897</v>
      </c>
      <c r="G340" s="25" t="s">
        <v>52</v>
      </c>
      <c r="H340" s="25" t="s">
        <v>109</v>
      </c>
      <c r="I340" s="16"/>
      <c r="J340" s="16"/>
    </row>
    <row r="341" spans="4:10">
      <c r="D341" s="25" t="s">
        <v>2172</v>
      </c>
      <c r="E341" s="27">
        <v>4340981.0928000007</v>
      </c>
      <c r="F341" s="25" t="s">
        <v>897</v>
      </c>
      <c r="G341" s="25" t="s">
        <v>99</v>
      </c>
      <c r="H341" s="25" t="s">
        <v>89</v>
      </c>
      <c r="I341" s="16"/>
      <c r="J341" s="16"/>
    </row>
    <row r="342" spans="4:10">
      <c r="D342" s="25" t="s">
        <v>2173</v>
      </c>
      <c r="E342" s="27">
        <v>32946798.759839997</v>
      </c>
      <c r="F342" s="25" t="s">
        <v>897</v>
      </c>
      <c r="G342" s="25" t="s">
        <v>52</v>
      </c>
      <c r="H342" s="25" t="s">
        <v>134</v>
      </c>
      <c r="I342" s="16"/>
      <c r="J342" s="16"/>
    </row>
    <row r="343" spans="4:10">
      <c r="D343" s="25" t="s">
        <v>2174</v>
      </c>
      <c r="E343" s="27">
        <v>34164226.787040003</v>
      </c>
      <c r="F343" s="25" t="s">
        <v>897</v>
      </c>
      <c r="G343" s="25" t="s">
        <v>52</v>
      </c>
      <c r="H343" s="25" t="s">
        <v>125</v>
      </c>
      <c r="I343" s="16"/>
      <c r="J343" s="16"/>
    </row>
    <row r="344" spans="4:10">
      <c r="D344" s="25" t="s">
        <v>2175</v>
      </c>
      <c r="E344" s="27">
        <v>148452846.63299999</v>
      </c>
      <c r="F344" s="25" t="s">
        <v>897</v>
      </c>
      <c r="G344" s="25" t="s">
        <v>52</v>
      </c>
      <c r="H344" s="25" t="s">
        <v>89</v>
      </c>
      <c r="I344" s="16"/>
      <c r="J344" s="16"/>
    </row>
    <row r="345" spans="4:10">
      <c r="D345" s="25" t="s">
        <v>2176</v>
      </c>
      <c r="E345" s="27">
        <v>105840731.00793597</v>
      </c>
      <c r="F345" s="25" t="s">
        <v>897</v>
      </c>
      <c r="G345" s="25" t="s">
        <v>52</v>
      </c>
      <c r="H345" s="25" t="s">
        <v>109</v>
      </c>
      <c r="I345" s="16"/>
      <c r="J345" s="16"/>
    </row>
    <row r="346" spans="4:10">
      <c r="D346" s="25" t="s">
        <v>2177</v>
      </c>
      <c r="E346" s="27">
        <v>295633860.05049592</v>
      </c>
      <c r="F346" s="25" t="s">
        <v>897</v>
      </c>
      <c r="G346" s="25" t="s">
        <v>99</v>
      </c>
      <c r="H346" s="25" t="s">
        <v>89</v>
      </c>
      <c r="I346" s="16"/>
      <c r="J346" s="16"/>
    </row>
    <row r="347" spans="4:10">
      <c r="D347" s="25" t="s">
        <v>2178</v>
      </c>
      <c r="E347" s="27">
        <v>160442384.13734397</v>
      </c>
      <c r="F347" s="25" t="s">
        <v>897</v>
      </c>
      <c r="G347" s="25" t="s">
        <v>52</v>
      </c>
      <c r="H347" s="25" t="s">
        <v>94</v>
      </c>
      <c r="I347" s="16"/>
      <c r="J347" s="16"/>
    </row>
    <row r="348" spans="4:10">
      <c r="D348" s="25" t="s">
        <v>2179</v>
      </c>
      <c r="E348" s="27">
        <v>144844994.98259997</v>
      </c>
      <c r="F348" s="25" t="s">
        <v>897</v>
      </c>
      <c r="G348" s="25" t="s">
        <v>133</v>
      </c>
      <c r="H348" s="25" t="s">
        <v>125</v>
      </c>
      <c r="I348" s="16"/>
      <c r="J348" s="16"/>
    </row>
    <row r="349" spans="4:10">
      <c r="D349" s="25" t="s">
        <v>2180</v>
      </c>
      <c r="E349" s="27">
        <v>43666908.247199997</v>
      </c>
      <c r="F349" s="25" t="s">
        <v>897</v>
      </c>
      <c r="G349" s="25" t="s">
        <v>52</v>
      </c>
      <c r="H349" s="25" t="s">
        <v>125</v>
      </c>
      <c r="I349" s="16"/>
      <c r="J349" s="16"/>
    </row>
    <row r="350" spans="4:10">
      <c r="D350" s="25" t="s">
        <v>2181</v>
      </c>
      <c r="E350" s="27">
        <v>22076676.689759996</v>
      </c>
      <c r="F350" s="25" t="s">
        <v>897</v>
      </c>
      <c r="G350" s="25" t="s">
        <v>52</v>
      </c>
      <c r="H350" s="25" t="s">
        <v>56</v>
      </c>
      <c r="I350" s="16"/>
      <c r="J350" s="16"/>
    </row>
    <row r="351" spans="4:10">
      <c r="D351" s="25" t="s">
        <v>2182</v>
      </c>
      <c r="E351" s="27">
        <v>131190850.46617198</v>
      </c>
      <c r="F351" s="25" t="s">
        <v>897</v>
      </c>
      <c r="G351" s="25" t="s">
        <v>133</v>
      </c>
      <c r="H351" s="25" t="s">
        <v>109</v>
      </c>
      <c r="I351" s="16"/>
      <c r="J351" s="16"/>
    </row>
    <row r="352" spans="4:10">
      <c r="D352" s="25" t="s">
        <v>2183</v>
      </c>
      <c r="E352" s="27">
        <v>70120803.392255992</v>
      </c>
      <c r="F352" s="25" t="s">
        <v>897</v>
      </c>
      <c r="G352" s="25" t="s">
        <v>52</v>
      </c>
      <c r="H352" s="25" t="s">
        <v>109</v>
      </c>
      <c r="I352" s="16"/>
      <c r="J352" s="16"/>
    </row>
    <row r="353" spans="4:10">
      <c r="D353" s="25" t="s">
        <v>2184</v>
      </c>
      <c r="E353" s="27">
        <v>89024589.651888013</v>
      </c>
      <c r="F353" s="25" t="s">
        <v>897</v>
      </c>
      <c r="G353" s="25" t="s">
        <v>99</v>
      </c>
      <c r="H353" s="25" t="s">
        <v>56</v>
      </c>
      <c r="I353" s="16"/>
      <c r="J353" s="16"/>
    </row>
    <row r="354" spans="4:10">
      <c r="D354" s="25" t="s">
        <v>2185</v>
      </c>
      <c r="E354" s="27">
        <v>61636792.306656003</v>
      </c>
      <c r="F354" s="25" t="s">
        <v>897</v>
      </c>
      <c r="G354" s="25" t="s">
        <v>52</v>
      </c>
      <c r="H354" s="25" t="s">
        <v>89</v>
      </c>
      <c r="I354" s="16"/>
      <c r="J354" s="16"/>
    </row>
    <row r="355" spans="4:10">
      <c r="D355" s="25" t="s">
        <v>2186</v>
      </c>
      <c r="E355" s="27">
        <v>7069153.8783599995</v>
      </c>
      <c r="F355" s="25" t="s">
        <v>897</v>
      </c>
      <c r="G355" s="25" t="s">
        <v>99</v>
      </c>
      <c r="H355" s="25" t="s">
        <v>56</v>
      </c>
      <c r="I355" s="16"/>
      <c r="J355" s="16"/>
    </row>
    <row r="356" spans="4:10">
      <c r="D356" s="25" t="s">
        <v>2187</v>
      </c>
      <c r="E356" s="27">
        <v>88249244.729687989</v>
      </c>
      <c r="F356" s="25" t="s">
        <v>897</v>
      </c>
      <c r="G356" s="25" t="s">
        <v>99</v>
      </c>
      <c r="H356" s="25" t="s">
        <v>109</v>
      </c>
      <c r="I356" s="16"/>
      <c r="J356" s="16"/>
    </row>
    <row r="357" spans="4:10">
      <c r="D357" s="25" t="s">
        <v>2188</v>
      </c>
      <c r="E357" s="27">
        <v>39991546.450943999</v>
      </c>
      <c r="F357" s="25" t="s">
        <v>897</v>
      </c>
      <c r="G357" s="25" t="s">
        <v>52</v>
      </c>
      <c r="H357" s="25" t="s">
        <v>89</v>
      </c>
      <c r="I357" s="16"/>
      <c r="J357" s="16"/>
    </row>
    <row r="358" spans="4:10">
      <c r="D358" s="25" t="s">
        <v>2189</v>
      </c>
      <c r="E358" s="27">
        <v>23787046.99188</v>
      </c>
      <c r="F358" s="25" t="s">
        <v>897</v>
      </c>
      <c r="G358" s="25" t="s">
        <v>52</v>
      </c>
      <c r="H358" s="25" t="s">
        <v>89</v>
      </c>
      <c r="I358" s="16"/>
      <c r="J358" s="16"/>
    </row>
    <row r="359" spans="4:10">
      <c r="D359" s="25" t="s">
        <v>2190</v>
      </c>
      <c r="E359" s="27">
        <v>26088681.503231999</v>
      </c>
      <c r="F359" s="25" t="s">
        <v>897</v>
      </c>
      <c r="G359" s="25" t="s">
        <v>52</v>
      </c>
      <c r="H359" s="25" t="s">
        <v>125</v>
      </c>
      <c r="I359" s="16"/>
      <c r="J359" s="16"/>
    </row>
    <row r="360" spans="4:10">
      <c r="D360" s="25" t="s">
        <v>2191</v>
      </c>
      <c r="E360" s="27">
        <v>36536833.633607998</v>
      </c>
      <c r="F360" s="25" t="s">
        <v>897</v>
      </c>
      <c r="G360" s="25" t="s">
        <v>99</v>
      </c>
      <c r="H360" s="25" t="s">
        <v>125</v>
      </c>
      <c r="I360" s="16"/>
      <c r="J360" s="16"/>
    </row>
    <row r="361" spans="4:10">
      <c r="D361" s="25" t="s">
        <v>2192</v>
      </c>
      <c r="E361" s="27">
        <v>16454171.62824</v>
      </c>
      <c r="F361" s="25" t="s">
        <v>897</v>
      </c>
      <c r="G361" s="25" t="s">
        <v>99</v>
      </c>
      <c r="H361" s="25" t="s">
        <v>109</v>
      </c>
      <c r="I361" s="16"/>
      <c r="J361" s="16"/>
    </row>
    <row r="362" spans="4:10">
      <c r="D362" s="25" t="s">
        <v>2193</v>
      </c>
      <c r="E362" s="27">
        <v>9507356.4364800006</v>
      </c>
      <c r="F362" s="25" t="s">
        <v>897</v>
      </c>
      <c r="G362" s="25" t="s">
        <v>52</v>
      </c>
      <c r="H362" s="25" t="s">
        <v>94</v>
      </c>
      <c r="I362" s="16"/>
      <c r="J362" s="16"/>
    </row>
    <row r="363" spans="4:10">
      <c r="D363" s="25" t="s">
        <v>2194</v>
      </c>
      <c r="E363" s="27">
        <v>208992716.63712001</v>
      </c>
      <c r="F363" s="25" t="s">
        <v>897</v>
      </c>
      <c r="G363" s="25" t="s">
        <v>99</v>
      </c>
      <c r="H363" s="25" t="s">
        <v>134</v>
      </c>
      <c r="I363" s="16"/>
      <c r="J363" s="16"/>
    </row>
    <row r="364" spans="4:10">
      <c r="D364" s="25" t="s">
        <v>2195</v>
      </c>
      <c r="E364" s="27">
        <v>200134.192392</v>
      </c>
      <c r="F364" s="25" t="s">
        <v>897</v>
      </c>
      <c r="G364" s="25" t="s">
        <v>99</v>
      </c>
      <c r="H364" s="25" t="s">
        <v>89</v>
      </c>
      <c r="I364" s="16"/>
      <c r="J364" s="16"/>
    </row>
    <row r="365" spans="4:10">
      <c r="D365" s="25" t="s">
        <v>2196</v>
      </c>
      <c r="E365" s="27">
        <v>154294398.2622</v>
      </c>
      <c r="F365" s="25" t="s">
        <v>897</v>
      </c>
      <c r="G365" s="25" t="s">
        <v>99</v>
      </c>
      <c r="H365" s="25" t="s">
        <v>134</v>
      </c>
      <c r="I365" s="16"/>
      <c r="J365" s="16"/>
    </row>
    <row r="366" spans="4:10">
      <c r="D366" s="25" t="s">
        <v>2197</v>
      </c>
      <c r="E366" s="27">
        <v>66445250.755583994</v>
      </c>
      <c r="F366" s="25" t="s">
        <v>897</v>
      </c>
      <c r="G366" s="25" t="s">
        <v>52</v>
      </c>
      <c r="H366" s="25" t="s">
        <v>134</v>
      </c>
      <c r="I366" s="16"/>
      <c r="J366" s="16"/>
    </row>
    <row r="367" spans="4:10">
      <c r="D367" s="25" t="s">
        <v>2198</v>
      </c>
      <c r="E367" s="27">
        <v>49609709.446320005</v>
      </c>
      <c r="F367" s="25" t="s">
        <v>897</v>
      </c>
      <c r="G367" s="25" t="s">
        <v>52</v>
      </c>
      <c r="H367" s="25" t="s">
        <v>109</v>
      </c>
      <c r="I367" s="16"/>
      <c r="J367" s="16"/>
    </row>
    <row r="368" spans="4:10">
      <c r="D368" s="25" t="s">
        <v>2199</v>
      </c>
      <c r="E368" s="27">
        <v>6161407.9643999999</v>
      </c>
      <c r="F368" s="25" t="s">
        <v>897</v>
      </c>
      <c r="G368" s="25" t="s">
        <v>52</v>
      </c>
      <c r="H368" s="25" t="s">
        <v>125</v>
      </c>
      <c r="I368" s="16"/>
      <c r="J368" s="16"/>
    </row>
    <row r="369" spans="4:10">
      <c r="D369" s="25" t="s">
        <v>2200</v>
      </c>
      <c r="E369" s="27">
        <v>7730141.9233919978</v>
      </c>
      <c r="F369" s="25" t="s">
        <v>897</v>
      </c>
      <c r="G369" s="25" t="s">
        <v>52</v>
      </c>
      <c r="H369" s="25" t="s">
        <v>89</v>
      </c>
      <c r="I369" s="16"/>
      <c r="J369" s="16"/>
    </row>
    <row r="370" spans="4:10">
      <c r="D370" s="25" t="s">
        <v>2201</v>
      </c>
      <c r="E370" s="27">
        <v>94869978.309599996</v>
      </c>
      <c r="F370" s="25" t="s">
        <v>897</v>
      </c>
      <c r="G370" s="25" t="s">
        <v>52</v>
      </c>
      <c r="H370" s="25" t="s">
        <v>56</v>
      </c>
      <c r="I370" s="16"/>
      <c r="J370" s="16"/>
    </row>
    <row r="371" spans="4:10">
      <c r="D371" s="25" t="s">
        <v>2202</v>
      </c>
      <c r="E371" s="27">
        <v>50819892.035219997</v>
      </c>
      <c r="F371" s="25" t="s">
        <v>897</v>
      </c>
      <c r="G371" s="25" t="s">
        <v>52</v>
      </c>
      <c r="H371" s="25" t="s">
        <v>125</v>
      </c>
      <c r="I371" s="16"/>
      <c r="J371" s="16"/>
    </row>
    <row r="372" spans="4:10">
      <c r="D372" s="25" t="s">
        <v>2203</v>
      </c>
      <c r="E372" s="27">
        <v>2353971.28266</v>
      </c>
      <c r="F372" s="25" t="s">
        <v>897</v>
      </c>
      <c r="G372" s="25" t="s">
        <v>99</v>
      </c>
      <c r="H372" s="25" t="s">
        <v>94</v>
      </c>
      <c r="I372" s="16"/>
      <c r="J372" s="16"/>
    </row>
    <row r="373" spans="4:10">
      <c r="D373" s="25" t="s">
        <v>2204</v>
      </c>
      <c r="E373" s="27">
        <v>33246209.091059994</v>
      </c>
      <c r="F373" s="25" t="s">
        <v>897</v>
      </c>
      <c r="G373" s="25" t="s">
        <v>52</v>
      </c>
      <c r="H373" s="25" t="s">
        <v>134</v>
      </c>
      <c r="I373" s="16"/>
      <c r="J373" s="16"/>
    </row>
    <row r="374" spans="4:10">
      <c r="D374" s="25" t="s">
        <v>2205</v>
      </c>
      <c r="E374" s="27">
        <v>219925733.86079997</v>
      </c>
      <c r="F374" s="25" t="s">
        <v>897</v>
      </c>
      <c r="G374" s="25" t="s">
        <v>133</v>
      </c>
      <c r="H374" s="25" t="s">
        <v>56</v>
      </c>
      <c r="I374" s="16"/>
      <c r="J374" s="16"/>
    </row>
    <row r="375" spans="4:10">
      <c r="D375" s="25" t="s">
        <v>2206</v>
      </c>
      <c r="E375" s="27">
        <v>55075630.917431988</v>
      </c>
      <c r="F375" s="25" t="s">
        <v>897</v>
      </c>
      <c r="G375" s="25" t="s">
        <v>52</v>
      </c>
      <c r="H375" s="25" t="s">
        <v>94</v>
      </c>
      <c r="I375" s="16"/>
      <c r="J375" s="16"/>
    </row>
    <row r="376" spans="4:10">
      <c r="D376" s="25" t="s">
        <v>2207</v>
      </c>
      <c r="E376" s="27">
        <v>82927234.935323998</v>
      </c>
      <c r="F376" s="25" t="s">
        <v>897</v>
      </c>
      <c r="G376" s="25" t="s">
        <v>133</v>
      </c>
      <c r="H376" s="25" t="s">
        <v>56</v>
      </c>
      <c r="I376" s="16"/>
      <c r="J376" s="16"/>
    </row>
    <row r="377" spans="4:10">
      <c r="D377" s="25" t="s">
        <v>2208</v>
      </c>
      <c r="E377" s="27">
        <v>111799985.17656</v>
      </c>
      <c r="F377" s="25" t="s">
        <v>897</v>
      </c>
      <c r="G377" s="25" t="s">
        <v>52</v>
      </c>
      <c r="H377" s="25" t="s">
        <v>109</v>
      </c>
      <c r="I377" s="16"/>
      <c r="J377" s="16"/>
    </row>
    <row r="378" spans="4:10">
      <c r="D378" s="25" t="s">
        <v>2209</v>
      </c>
      <c r="E378" s="27">
        <v>69587218.438848004</v>
      </c>
      <c r="F378" s="25" t="s">
        <v>897</v>
      </c>
      <c r="G378" s="25" t="s">
        <v>52</v>
      </c>
      <c r="H378" s="25" t="s">
        <v>94</v>
      </c>
      <c r="I378" s="16"/>
      <c r="J378" s="16"/>
    </row>
    <row r="379" spans="4:10">
      <c r="D379" s="25" t="s">
        <v>2210</v>
      </c>
      <c r="E379" s="27">
        <v>26422524.692015994</v>
      </c>
      <c r="F379" s="25" t="s">
        <v>897</v>
      </c>
      <c r="G379" s="25" t="s">
        <v>99</v>
      </c>
      <c r="H379" s="25" t="s">
        <v>56</v>
      </c>
      <c r="I379" s="16"/>
      <c r="J379" s="16"/>
    </row>
    <row r="380" spans="4:10">
      <c r="D380" s="25" t="s">
        <v>2211</v>
      </c>
      <c r="E380" s="27">
        <v>19925667.862655997</v>
      </c>
      <c r="F380" s="25" t="s">
        <v>897</v>
      </c>
      <c r="G380" s="25" t="s">
        <v>52</v>
      </c>
      <c r="H380" s="25" t="s">
        <v>125</v>
      </c>
      <c r="I380" s="16"/>
      <c r="J380" s="16"/>
    </row>
    <row r="381" spans="4:10">
      <c r="D381" s="25" t="s">
        <v>2212</v>
      </c>
      <c r="E381" s="27">
        <v>23769810.0612</v>
      </c>
      <c r="F381" s="25" t="s">
        <v>897</v>
      </c>
      <c r="G381" s="25" t="s">
        <v>52</v>
      </c>
      <c r="H381" s="25" t="s">
        <v>89</v>
      </c>
      <c r="I381" s="16"/>
      <c r="J381" s="16"/>
    </row>
    <row r="382" spans="4:10">
      <c r="D382" s="25" t="s">
        <v>2213</v>
      </c>
      <c r="E382" s="27">
        <v>137659891.67884797</v>
      </c>
      <c r="F382" s="25" t="s">
        <v>897</v>
      </c>
      <c r="G382" s="25" t="s">
        <v>133</v>
      </c>
      <c r="H382" s="25" t="s">
        <v>125</v>
      </c>
      <c r="I382" s="16"/>
      <c r="J382" s="16"/>
    </row>
    <row r="383" spans="4:10">
      <c r="D383" s="25" t="s">
        <v>2214</v>
      </c>
      <c r="E383" s="27">
        <v>43137626.403924003</v>
      </c>
      <c r="F383" s="25" t="s">
        <v>897</v>
      </c>
      <c r="G383" s="25" t="s">
        <v>133</v>
      </c>
      <c r="H383" s="25" t="s">
        <v>94</v>
      </c>
      <c r="I383" s="16"/>
      <c r="J383" s="16"/>
    </row>
    <row r="384" spans="4:10">
      <c r="D384" s="25" t="s">
        <v>2215</v>
      </c>
      <c r="E384" s="27">
        <v>35543460.908160001</v>
      </c>
      <c r="F384" s="25" t="s">
        <v>897</v>
      </c>
      <c r="G384" s="25" t="s">
        <v>52</v>
      </c>
      <c r="H384" s="25" t="s">
        <v>134</v>
      </c>
      <c r="I384" s="16"/>
      <c r="J384" s="16"/>
    </row>
    <row r="385" spans="4:10">
      <c r="D385" s="25" t="s">
        <v>2216</v>
      </c>
      <c r="E385" s="27">
        <v>43704034.863839991</v>
      </c>
      <c r="F385" s="25" t="s">
        <v>897</v>
      </c>
      <c r="G385" s="25" t="s">
        <v>133</v>
      </c>
      <c r="H385" s="25" t="s">
        <v>134</v>
      </c>
      <c r="I385" s="16"/>
      <c r="J385" s="16"/>
    </row>
    <row r="386" spans="4:10">
      <c r="D386" s="25" t="s">
        <v>2217</v>
      </c>
      <c r="E386" s="27">
        <v>61869054.755496003</v>
      </c>
      <c r="F386" s="25" t="s">
        <v>897</v>
      </c>
      <c r="G386" s="25" t="s">
        <v>52</v>
      </c>
      <c r="H386" s="25" t="s">
        <v>89</v>
      </c>
      <c r="I386" s="16"/>
      <c r="J386" s="16"/>
    </row>
    <row r="387" spans="4:10">
      <c r="D387" s="25" t="s">
        <v>2218</v>
      </c>
      <c r="E387" s="27">
        <v>86124586.425695986</v>
      </c>
      <c r="F387" s="25" t="s">
        <v>897</v>
      </c>
      <c r="G387" s="25" t="s">
        <v>52</v>
      </c>
      <c r="H387" s="25" t="s">
        <v>94</v>
      </c>
      <c r="I387" s="16"/>
      <c r="J387" s="16"/>
    </row>
    <row r="388" spans="4:10">
      <c r="D388" s="25" t="s">
        <v>2219</v>
      </c>
      <c r="E388" s="27">
        <v>24272475.117515996</v>
      </c>
      <c r="F388" s="25" t="s">
        <v>897</v>
      </c>
      <c r="G388" s="25" t="s">
        <v>99</v>
      </c>
      <c r="H388" s="25" t="s">
        <v>125</v>
      </c>
      <c r="I388" s="16"/>
      <c r="J388" s="16"/>
    </row>
    <row r="389" spans="4:10">
      <c r="D389" s="25" t="s">
        <v>2220</v>
      </c>
      <c r="E389" s="27">
        <v>54597966.836400002</v>
      </c>
      <c r="F389" s="25" t="s">
        <v>897</v>
      </c>
      <c r="G389" s="25" t="s">
        <v>52</v>
      </c>
      <c r="H389" s="25" t="s">
        <v>134</v>
      </c>
      <c r="I389" s="16"/>
      <c r="J389" s="16"/>
    </row>
    <row r="390" spans="4:10">
      <c r="D390" s="25" t="s">
        <v>2221</v>
      </c>
      <c r="E390" s="27">
        <v>137526399.80765998</v>
      </c>
      <c r="F390" s="25" t="s">
        <v>897</v>
      </c>
      <c r="G390" s="25" t="s">
        <v>99</v>
      </c>
      <c r="H390" s="25" t="s">
        <v>94</v>
      </c>
      <c r="I390" s="16"/>
      <c r="J390" s="16"/>
    </row>
    <row r="391" spans="4:10">
      <c r="D391" s="25" t="s">
        <v>2222</v>
      </c>
      <c r="E391" s="27">
        <v>96702362.395775989</v>
      </c>
      <c r="F391" s="25" t="s">
        <v>897</v>
      </c>
      <c r="G391" s="25" t="s">
        <v>52</v>
      </c>
      <c r="H391" s="25" t="s">
        <v>134</v>
      </c>
      <c r="I391" s="16"/>
      <c r="J391" s="16"/>
    </row>
    <row r="392" spans="4:10">
      <c r="D392" s="25" t="s">
        <v>2223</v>
      </c>
      <c r="E392" s="27">
        <v>10331208.794015998</v>
      </c>
      <c r="F392" s="25" t="s">
        <v>897</v>
      </c>
      <c r="G392" s="25" t="s">
        <v>52</v>
      </c>
      <c r="H392" s="25" t="s">
        <v>109</v>
      </c>
      <c r="I392" s="16"/>
      <c r="J392" s="16"/>
    </row>
    <row r="393" spans="4:10">
      <c r="D393" s="25" t="s">
        <v>2224</v>
      </c>
      <c r="E393" s="27">
        <v>11833142.172192</v>
      </c>
      <c r="F393" s="25" t="s">
        <v>897</v>
      </c>
      <c r="G393" s="25" t="s">
        <v>99</v>
      </c>
      <c r="H393" s="25" t="s">
        <v>89</v>
      </c>
      <c r="I393" s="16"/>
      <c r="J393" s="16"/>
    </row>
    <row r="394" spans="4:10">
      <c r="D394" s="25" t="s">
        <v>2225</v>
      </c>
      <c r="E394" s="27">
        <v>49005342.300719999</v>
      </c>
      <c r="F394" s="25" t="s">
        <v>897</v>
      </c>
      <c r="G394" s="25" t="s">
        <v>99</v>
      </c>
      <c r="H394" s="25" t="s">
        <v>125</v>
      </c>
      <c r="I394" s="16"/>
      <c r="J394" s="16"/>
    </row>
    <row r="395" spans="4:10">
      <c r="D395" s="25" t="s">
        <v>2226</v>
      </c>
      <c r="E395" s="27">
        <v>8249272.6355520003</v>
      </c>
      <c r="F395" s="25" t="s">
        <v>897</v>
      </c>
      <c r="G395" s="25" t="s">
        <v>99</v>
      </c>
      <c r="H395" s="25" t="s">
        <v>134</v>
      </c>
      <c r="I395" s="16"/>
      <c r="J395" s="16"/>
    </row>
    <row r="396" spans="4:10">
      <c r="D396" s="25" t="s">
        <v>2227</v>
      </c>
      <c r="E396" s="27">
        <v>12360406.488947999</v>
      </c>
      <c r="F396" s="25" t="s">
        <v>897</v>
      </c>
      <c r="G396" s="25" t="s">
        <v>99</v>
      </c>
      <c r="H396" s="25" t="s">
        <v>56</v>
      </c>
      <c r="I396" s="16"/>
      <c r="J396" s="16"/>
    </row>
    <row r="397" spans="4:10">
      <c r="D397" s="25" t="s">
        <v>2228</v>
      </c>
      <c r="E397" s="27">
        <v>106957.49375999998</v>
      </c>
      <c r="F397" s="25" t="s">
        <v>897</v>
      </c>
      <c r="G397" s="25" t="s">
        <v>52</v>
      </c>
      <c r="H397" s="25" t="s">
        <v>109</v>
      </c>
      <c r="I397" s="16"/>
      <c r="J397" s="16"/>
    </row>
    <row r="398" spans="4:10">
      <c r="D398" s="25" t="s">
        <v>2229</v>
      </c>
      <c r="E398" s="27">
        <v>17022250.364615999</v>
      </c>
      <c r="F398" s="25" t="s">
        <v>897</v>
      </c>
      <c r="G398" s="25" t="s">
        <v>52</v>
      </c>
      <c r="H398" s="25" t="s">
        <v>125</v>
      </c>
      <c r="I398" s="16"/>
      <c r="J398" s="16"/>
    </row>
    <row r="399" spans="4:10">
      <c r="D399" s="25" t="s">
        <v>2230</v>
      </c>
      <c r="E399" s="27">
        <v>16442839.187807998</v>
      </c>
      <c r="F399" s="25" t="s">
        <v>897</v>
      </c>
      <c r="G399" s="25" t="s">
        <v>52</v>
      </c>
      <c r="H399" s="25" t="s">
        <v>89</v>
      </c>
      <c r="I399" s="16"/>
      <c r="J399" s="16"/>
    </row>
    <row r="400" spans="4:10">
      <c r="D400" s="25" t="s">
        <v>2231</v>
      </c>
      <c r="E400" s="27">
        <v>2926607.546052</v>
      </c>
      <c r="F400" s="25" t="s">
        <v>897</v>
      </c>
      <c r="G400" s="25" t="s">
        <v>133</v>
      </c>
      <c r="H400" s="25" t="s">
        <v>89</v>
      </c>
      <c r="I400" s="16"/>
      <c r="J400" s="16"/>
    </row>
    <row r="401" spans="4:10">
      <c r="D401" s="25" t="s">
        <v>2232</v>
      </c>
      <c r="E401" s="27">
        <v>66320501.818895996</v>
      </c>
      <c r="F401" s="25" t="s">
        <v>897</v>
      </c>
      <c r="G401" s="25" t="s">
        <v>133</v>
      </c>
      <c r="H401" s="25" t="s">
        <v>134</v>
      </c>
      <c r="I401" s="16"/>
      <c r="J401" s="16"/>
    </row>
    <row r="402" spans="4:10">
      <c r="D402" s="25" t="s">
        <v>2233</v>
      </c>
      <c r="E402" s="27">
        <v>318821637.22642803</v>
      </c>
      <c r="F402" s="25" t="s">
        <v>897</v>
      </c>
      <c r="G402" s="25" t="s">
        <v>99</v>
      </c>
      <c r="H402" s="25" t="s">
        <v>125</v>
      </c>
      <c r="I402" s="16"/>
      <c r="J402" s="16"/>
    </row>
    <row r="403" spans="4:10">
      <c r="D403" s="25" t="s">
        <v>2234</v>
      </c>
      <c r="E403" s="27">
        <v>101917281.736368</v>
      </c>
      <c r="F403" s="25" t="s">
        <v>897</v>
      </c>
      <c r="G403" s="25" t="s">
        <v>99</v>
      </c>
      <c r="H403" s="25" t="s">
        <v>134</v>
      </c>
      <c r="I403" s="16"/>
      <c r="J403" s="16"/>
    </row>
    <row r="404" spans="4:10">
      <c r="D404" s="25" t="s">
        <v>2235</v>
      </c>
      <c r="E404" s="27">
        <v>8400279.1501199994</v>
      </c>
      <c r="F404" s="25" t="s">
        <v>897</v>
      </c>
      <c r="G404" s="25" t="s">
        <v>99</v>
      </c>
      <c r="H404" s="25" t="s">
        <v>134</v>
      </c>
      <c r="I404" s="16"/>
      <c r="J404" s="16"/>
    </row>
    <row r="405" spans="4:10">
      <c r="D405" s="25" t="s">
        <v>2236</v>
      </c>
      <c r="E405" s="27">
        <v>34500131.924543999</v>
      </c>
      <c r="F405" s="25" t="s">
        <v>897</v>
      </c>
      <c r="G405" s="25" t="s">
        <v>52</v>
      </c>
      <c r="H405" s="25" t="s">
        <v>89</v>
      </c>
      <c r="I405" s="16"/>
      <c r="J405" s="16"/>
    </row>
    <row r="406" spans="4:10">
      <c r="D406" s="25" t="s">
        <v>2237</v>
      </c>
      <c r="E406" s="27">
        <v>73476241.552895993</v>
      </c>
      <c r="F406" s="25" t="s">
        <v>897</v>
      </c>
      <c r="G406" s="25" t="s">
        <v>52</v>
      </c>
      <c r="H406" s="25" t="s">
        <v>89</v>
      </c>
      <c r="I406" s="16"/>
      <c r="J406" s="16"/>
    </row>
    <row r="407" spans="4:10">
      <c r="D407" s="25" t="s">
        <v>2238</v>
      </c>
      <c r="E407" s="27">
        <v>86483724.089136004</v>
      </c>
      <c r="F407" s="25" t="s">
        <v>897</v>
      </c>
      <c r="G407" s="25" t="s">
        <v>52</v>
      </c>
      <c r="H407" s="25" t="s">
        <v>109</v>
      </c>
      <c r="I407" s="16"/>
      <c r="J407" s="16"/>
    </row>
    <row r="408" spans="4:10">
      <c r="D408" s="25" t="s">
        <v>2239</v>
      </c>
      <c r="E408" s="27">
        <v>26576258.864687994</v>
      </c>
      <c r="F408" s="25" t="s">
        <v>897</v>
      </c>
      <c r="G408" s="25" t="s">
        <v>52</v>
      </c>
      <c r="H408" s="25" t="s">
        <v>56</v>
      </c>
      <c r="I408" s="16"/>
      <c r="J408" s="16"/>
    </row>
    <row r="409" spans="4:10">
      <c r="D409" s="25" t="s">
        <v>2240</v>
      </c>
      <c r="E409" s="27">
        <v>86390259.162983999</v>
      </c>
      <c r="F409" s="25" t="s">
        <v>897</v>
      </c>
      <c r="G409" s="25" t="s">
        <v>52</v>
      </c>
      <c r="H409" s="25" t="s">
        <v>94</v>
      </c>
      <c r="I409" s="16"/>
      <c r="J409" s="16"/>
    </row>
    <row r="410" spans="4:10">
      <c r="D410" s="25" t="s">
        <v>2241</v>
      </c>
      <c r="E410" s="27">
        <v>83167797.52764</v>
      </c>
      <c r="F410" s="25" t="s">
        <v>897</v>
      </c>
      <c r="G410" s="25" t="s">
        <v>52</v>
      </c>
      <c r="H410" s="25" t="s">
        <v>134</v>
      </c>
      <c r="I410" s="16"/>
      <c r="J410" s="16"/>
    </row>
    <row r="411" spans="4:10">
      <c r="D411" s="25" t="s">
        <v>2242</v>
      </c>
      <c r="E411" s="27">
        <v>6235237.3061880004</v>
      </c>
      <c r="F411" s="25" t="s">
        <v>897</v>
      </c>
      <c r="G411" s="25" t="s">
        <v>52</v>
      </c>
      <c r="H411" s="25" t="s">
        <v>89</v>
      </c>
      <c r="I411" s="16"/>
      <c r="J411" s="16"/>
    </row>
    <row r="412" spans="4:10">
      <c r="D412" s="25" t="s">
        <v>2243</v>
      </c>
      <c r="E412" s="27">
        <v>15796349.155463997</v>
      </c>
      <c r="F412" s="25" t="s">
        <v>897</v>
      </c>
      <c r="G412" s="25" t="s">
        <v>52</v>
      </c>
      <c r="H412" s="25" t="s">
        <v>134</v>
      </c>
      <c r="I412" s="16"/>
      <c r="J412" s="16"/>
    </row>
    <row r="413" spans="4:10">
      <c r="D413" s="25" t="s">
        <v>2244</v>
      </c>
      <c r="E413" s="27">
        <v>127489694.43419999</v>
      </c>
      <c r="F413" s="25" t="s">
        <v>897</v>
      </c>
      <c r="G413" s="25" t="s">
        <v>99</v>
      </c>
      <c r="H413" s="25" t="s">
        <v>125</v>
      </c>
      <c r="I413" s="16"/>
      <c r="J413" s="16"/>
    </row>
    <row r="414" spans="4:10">
      <c r="D414" s="25" t="s">
        <v>2245</v>
      </c>
      <c r="E414" s="27">
        <v>19819839.088799998</v>
      </c>
      <c r="F414" s="25" t="s">
        <v>897</v>
      </c>
      <c r="G414" s="25" t="s">
        <v>99</v>
      </c>
      <c r="H414" s="25" t="s">
        <v>125</v>
      </c>
      <c r="I414" s="16"/>
      <c r="J414" s="16"/>
    </row>
    <row r="415" spans="4:10">
      <c r="D415" s="25" t="s">
        <v>2246</v>
      </c>
      <c r="E415" s="27">
        <v>54325938.001607999</v>
      </c>
      <c r="F415" s="25" t="s">
        <v>897</v>
      </c>
      <c r="G415" s="25" t="s">
        <v>99</v>
      </c>
      <c r="H415" s="25" t="s">
        <v>134</v>
      </c>
      <c r="I415" s="16"/>
      <c r="J415" s="16"/>
    </row>
    <row r="416" spans="4:10">
      <c r="D416" s="25" t="s">
        <v>2247</v>
      </c>
      <c r="E416" s="27">
        <v>118616335.771752</v>
      </c>
      <c r="F416" s="25" t="s">
        <v>897</v>
      </c>
      <c r="G416" s="25" t="s">
        <v>52</v>
      </c>
      <c r="H416" s="25" t="s">
        <v>125</v>
      </c>
      <c r="I416" s="16"/>
      <c r="J416" s="16"/>
    </row>
    <row r="417" spans="4:10">
      <c r="D417" s="25" t="s">
        <v>2248</v>
      </c>
      <c r="E417" s="27">
        <v>61754811.665976003</v>
      </c>
      <c r="F417" s="25" t="s">
        <v>897</v>
      </c>
      <c r="G417" s="25" t="s">
        <v>133</v>
      </c>
      <c r="H417" s="25" t="s">
        <v>109</v>
      </c>
      <c r="I417" s="16"/>
      <c r="J417" s="16"/>
    </row>
    <row r="418" spans="4:10">
      <c r="D418" s="25" t="s">
        <v>2249</v>
      </c>
      <c r="E418" s="27">
        <v>152164869.48035997</v>
      </c>
      <c r="F418" s="25" t="s">
        <v>897</v>
      </c>
      <c r="G418" s="25" t="s">
        <v>133</v>
      </c>
      <c r="H418" s="25" t="s">
        <v>89</v>
      </c>
      <c r="I418" s="16"/>
      <c r="J418" s="16"/>
    </row>
    <row r="419" spans="4:10">
      <c r="D419" s="25" t="s">
        <v>2250</v>
      </c>
      <c r="E419" s="27">
        <v>94575481.559855983</v>
      </c>
      <c r="F419" s="25" t="s">
        <v>897</v>
      </c>
      <c r="G419" s="25" t="s">
        <v>99</v>
      </c>
      <c r="H419" s="25" t="s">
        <v>125</v>
      </c>
      <c r="I419" s="16"/>
      <c r="J419" s="16"/>
    </row>
    <row r="420" spans="4:10">
      <c r="D420" s="25" t="s">
        <v>2251</v>
      </c>
      <c r="E420" s="27">
        <v>45764190.367679998</v>
      </c>
      <c r="F420" s="25" t="s">
        <v>897</v>
      </c>
      <c r="G420" s="25" t="s">
        <v>52</v>
      </c>
      <c r="H420" s="25" t="s">
        <v>89</v>
      </c>
      <c r="I420" s="16"/>
      <c r="J420" s="16"/>
    </row>
    <row r="421" spans="4:10">
      <c r="D421" s="25" t="s">
        <v>2252</v>
      </c>
      <c r="E421" s="27">
        <v>55703362.626431987</v>
      </c>
      <c r="F421" s="25" t="s">
        <v>897</v>
      </c>
      <c r="G421" s="25" t="s">
        <v>99</v>
      </c>
      <c r="H421" s="25" t="s">
        <v>94</v>
      </c>
      <c r="I421" s="16"/>
      <c r="J421" s="16"/>
    </row>
    <row r="422" spans="4:10">
      <c r="D422" s="25" t="s">
        <v>2253</v>
      </c>
      <c r="E422" s="27">
        <v>120956783.63277599</v>
      </c>
      <c r="F422" s="25" t="s">
        <v>897</v>
      </c>
      <c r="G422" s="25" t="s">
        <v>133</v>
      </c>
      <c r="H422" s="25" t="s">
        <v>109</v>
      </c>
      <c r="I422" s="16"/>
      <c r="J422" s="16"/>
    </row>
    <row r="423" spans="4:10">
      <c r="D423" s="25" t="s">
        <v>2254</v>
      </c>
      <c r="E423" s="27">
        <v>6753208.8171239998</v>
      </c>
      <c r="F423" s="25" t="s">
        <v>897</v>
      </c>
      <c r="G423" s="25" t="s">
        <v>99</v>
      </c>
      <c r="H423" s="25" t="s">
        <v>94</v>
      </c>
      <c r="I423" s="16"/>
      <c r="J423" s="16"/>
    </row>
    <row r="424" spans="4:10">
      <c r="D424" s="25" t="s">
        <v>2255</v>
      </c>
      <c r="E424" s="27">
        <v>23172683.224032</v>
      </c>
      <c r="F424" s="25" t="s">
        <v>897</v>
      </c>
      <c r="G424" s="25" t="s">
        <v>52</v>
      </c>
      <c r="H424" s="25" t="s">
        <v>56</v>
      </c>
      <c r="I424" s="16"/>
      <c r="J424" s="16"/>
    </row>
    <row r="425" spans="4:10">
      <c r="D425" s="25" t="s">
        <v>2256</v>
      </c>
      <c r="E425" s="27">
        <v>73862261.426375985</v>
      </c>
      <c r="F425" s="25" t="s">
        <v>897</v>
      </c>
      <c r="G425" s="25" t="s">
        <v>52</v>
      </c>
      <c r="H425" s="25" t="s">
        <v>125</v>
      </c>
      <c r="I425" s="16"/>
      <c r="J425" s="16"/>
    </row>
    <row r="426" spans="4:10">
      <c r="D426" s="25" t="s">
        <v>2257</v>
      </c>
      <c r="E426" s="27">
        <v>7304153.2789919991</v>
      </c>
      <c r="F426" s="25" t="s">
        <v>897</v>
      </c>
      <c r="G426" s="25" t="s">
        <v>52</v>
      </c>
      <c r="H426" s="25" t="s">
        <v>89</v>
      </c>
      <c r="I426" s="16"/>
      <c r="J426" s="16"/>
    </row>
    <row r="427" spans="4:10">
      <c r="D427" s="25" t="s">
        <v>2258</v>
      </c>
      <c r="E427" s="27">
        <v>13646399.027183998</v>
      </c>
      <c r="F427" s="25" t="s">
        <v>897</v>
      </c>
      <c r="G427" s="25" t="s">
        <v>52</v>
      </c>
      <c r="H427" s="25" t="s">
        <v>94</v>
      </c>
      <c r="I427" s="16"/>
      <c r="J427" s="16"/>
    </row>
    <row r="428" spans="4:10">
      <c r="D428" s="25" t="s">
        <v>2259</v>
      </c>
      <c r="E428" s="27">
        <v>129044044.81612797</v>
      </c>
      <c r="F428" s="25" t="s">
        <v>897</v>
      </c>
      <c r="G428" s="25" t="s">
        <v>52</v>
      </c>
      <c r="H428" s="25" t="s">
        <v>56</v>
      </c>
      <c r="I428" s="16"/>
      <c r="J428" s="16"/>
    </row>
    <row r="429" spans="4:10">
      <c r="D429" s="25" t="s">
        <v>2260</v>
      </c>
      <c r="E429" s="27">
        <v>11341047.797880001</v>
      </c>
      <c r="F429" s="25" t="s">
        <v>897</v>
      </c>
      <c r="G429" s="25" t="s">
        <v>99</v>
      </c>
      <c r="H429" s="25" t="s">
        <v>109</v>
      </c>
      <c r="I429" s="16"/>
      <c r="J429" s="16"/>
    </row>
    <row r="430" spans="4:10">
      <c r="D430" s="25" t="s">
        <v>2261</v>
      </c>
      <c r="E430" s="27">
        <v>5468142.1516800001</v>
      </c>
      <c r="F430" s="25" t="s">
        <v>897</v>
      </c>
      <c r="G430" s="25" t="s">
        <v>52</v>
      </c>
      <c r="H430" s="25" t="s">
        <v>56</v>
      </c>
      <c r="I430" s="16"/>
      <c r="J430" s="16"/>
    </row>
    <row r="431" spans="4:10">
      <c r="D431" s="25" t="s">
        <v>2262</v>
      </c>
      <c r="E431" s="27">
        <v>39493764.845568001</v>
      </c>
      <c r="F431" s="25" t="s">
        <v>897</v>
      </c>
      <c r="G431" s="25" t="s">
        <v>99</v>
      </c>
      <c r="H431" s="25" t="s">
        <v>89</v>
      </c>
      <c r="I431" s="16"/>
      <c r="J431" s="16"/>
    </row>
    <row r="432" spans="4:10">
      <c r="D432" s="25" t="s">
        <v>2263</v>
      </c>
      <c r="E432" s="27">
        <v>17559048.800832</v>
      </c>
      <c r="F432" s="25" t="s">
        <v>897</v>
      </c>
      <c r="G432" s="25" t="s">
        <v>52</v>
      </c>
      <c r="H432" s="25" t="s">
        <v>125</v>
      </c>
      <c r="I432" s="16"/>
      <c r="J432" s="16"/>
    </row>
    <row r="433" spans="4:10">
      <c r="D433" s="25" t="s">
        <v>2264</v>
      </c>
      <c r="E433" s="27">
        <v>14054179.113071999</v>
      </c>
      <c r="F433" s="25" t="s">
        <v>897</v>
      </c>
      <c r="G433" s="25" t="s">
        <v>133</v>
      </c>
      <c r="H433" s="25" t="s">
        <v>125</v>
      </c>
      <c r="I433" s="16"/>
      <c r="J433" s="16"/>
    </row>
    <row r="434" spans="4:10">
      <c r="D434" s="25" t="s">
        <v>2265</v>
      </c>
      <c r="E434" s="27">
        <v>900000000</v>
      </c>
      <c r="F434" s="25" t="s">
        <v>896</v>
      </c>
      <c r="G434" s="25" t="s">
        <v>133</v>
      </c>
      <c r="H434" s="25" t="s">
        <v>109</v>
      </c>
      <c r="I434" s="16"/>
      <c r="J434" s="16"/>
    </row>
    <row r="435" spans="4:10">
      <c r="D435" s="25" t="s">
        <v>2266</v>
      </c>
      <c r="E435" s="27">
        <v>15628896.585455999</v>
      </c>
      <c r="F435" s="25" t="s">
        <v>896</v>
      </c>
      <c r="G435" s="25" t="s">
        <v>133</v>
      </c>
      <c r="H435" s="25" t="s">
        <v>89</v>
      </c>
      <c r="I435" s="16"/>
      <c r="J435" s="16"/>
    </row>
    <row r="436" spans="4:10">
      <c r="D436" s="25" t="s">
        <v>2267</v>
      </c>
      <c r="E436" s="27">
        <v>139239909.62414399</v>
      </c>
      <c r="F436" s="25" t="s">
        <v>896</v>
      </c>
      <c r="G436" s="25" t="s">
        <v>133</v>
      </c>
      <c r="H436" s="25" t="s">
        <v>125</v>
      </c>
      <c r="I436" s="16"/>
      <c r="J436" s="16"/>
    </row>
    <row r="437" spans="4:10">
      <c r="D437" s="25" t="s">
        <v>2268</v>
      </c>
      <c r="E437" s="27">
        <v>56138811.007031992</v>
      </c>
      <c r="F437" s="25" t="s">
        <v>896</v>
      </c>
      <c r="G437" s="25" t="s">
        <v>133</v>
      </c>
      <c r="H437" s="25" t="s">
        <v>94</v>
      </c>
      <c r="I437" s="16"/>
      <c r="J437" s="16"/>
    </row>
    <row r="438" spans="4:10">
      <c r="D438" s="25" t="s">
        <v>2269</v>
      </c>
      <c r="E438" s="27">
        <v>1000000000</v>
      </c>
      <c r="F438" s="25" t="s">
        <v>895</v>
      </c>
      <c r="G438" s="25" t="s">
        <v>133</v>
      </c>
      <c r="H438" s="25" t="s">
        <v>125</v>
      </c>
      <c r="I438" s="16"/>
      <c r="J438" s="16"/>
    </row>
    <row r="439" spans="4:10">
      <c r="D439" s="25" t="s">
        <v>2270</v>
      </c>
      <c r="E439" s="27">
        <v>1000000000</v>
      </c>
      <c r="F439" s="25" t="s">
        <v>895</v>
      </c>
      <c r="G439" s="25" t="s">
        <v>133</v>
      </c>
      <c r="H439" s="25" t="s">
        <v>109</v>
      </c>
      <c r="I439" s="16"/>
      <c r="J439" s="16"/>
    </row>
    <row r="440" spans="4:10">
      <c r="D440" s="25" t="s">
        <v>2270</v>
      </c>
      <c r="E440" s="27">
        <v>3483410.9888160001</v>
      </c>
      <c r="F440" s="25" t="s">
        <v>895</v>
      </c>
      <c r="G440" s="25" t="s">
        <v>133</v>
      </c>
      <c r="H440" s="25" t="s">
        <v>109</v>
      </c>
      <c r="I440" s="16"/>
      <c r="J440" s="16"/>
    </row>
    <row r="441" spans="4:10">
      <c r="D441" s="25" t="s">
        <v>2270</v>
      </c>
      <c r="E441" s="27">
        <v>3483410.9888160001</v>
      </c>
      <c r="F441" s="25" t="s">
        <v>895</v>
      </c>
      <c r="G441" s="25" t="s">
        <v>133</v>
      </c>
      <c r="H441" s="25" t="s">
        <v>109</v>
      </c>
      <c r="I441" s="16"/>
      <c r="J441" s="16"/>
    </row>
  </sheetData>
  <mergeCells count="1">
    <mergeCell ref="D3:H4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03B3-B433-47F0-96EB-86BD4A94F623}">
  <dimension ref="D3:M35"/>
  <sheetViews>
    <sheetView showGridLines="0" zoomScale="80" zoomScaleNormal="80" workbookViewId="0">
      <selection activeCell="I32" sqref="I32:I34"/>
    </sheetView>
  </sheetViews>
  <sheetFormatPr defaultColWidth="9" defaultRowHeight="15"/>
  <cols>
    <col min="1" max="3" width="2.42578125" style="3" customWidth="1"/>
    <col min="4" max="9" width="20" style="3" customWidth="1"/>
    <col min="10" max="12" width="9" style="3"/>
    <col min="13" max="13" width="14.28515625" style="3" bestFit="1" customWidth="1"/>
    <col min="14" max="16384" width="9" style="3"/>
  </cols>
  <sheetData>
    <row r="3" spans="4:13" ht="21" customHeight="1">
      <c r="D3" s="51" t="s">
        <v>940</v>
      </c>
      <c r="E3" s="52"/>
      <c r="F3" s="52"/>
      <c r="G3" s="52"/>
      <c r="H3" s="52"/>
      <c r="I3" s="52"/>
    </row>
    <row r="4" spans="4:13" ht="21">
      <c r="D4" s="53"/>
      <c r="E4" s="54"/>
      <c r="F4" s="54"/>
      <c r="G4" s="54"/>
      <c r="H4" s="54"/>
      <c r="I4" s="54"/>
    </row>
    <row r="6" spans="4:13">
      <c r="D6" s="2" t="s">
        <v>2271</v>
      </c>
    </row>
    <row r="7" spans="4:13">
      <c r="D7" s="28" t="s">
        <v>2272</v>
      </c>
      <c r="E7" s="28" t="s">
        <v>899</v>
      </c>
      <c r="F7" s="28" t="s">
        <v>1835</v>
      </c>
      <c r="G7" s="29" t="s">
        <v>1836</v>
      </c>
      <c r="H7" s="29" t="s">
        <v>1837</v>
      </c>
      <c r="I7" s="29" t="s">
        <v>897</v>
      </c>
    </row>
    <row r="8" spans="4:13">
      <c r="D8" s="25">
        <v>2021</v>
      </c>
      <c r="E8" s="50">
        <v>45000000</v>
      </c>
      <c r="F8" s="27">
        <v>30000000</v>
      </c>
      <c r="G8" s="27">
        <v>20000000</v>
      </c>
      <c r="H8" s="27">
        <v>15000000</v>
      </c>
      <c r="I8" s="27">
        <v>1500000000</v>
      </c>
      <c r="M8" s="15">
        <f>E13</f>
        <v>300000000</v>
      </c>
    </row>
    <row r="9" spans="4:13">
      <c r="D9" s="25">
        <v>2022</v>
      </c>
      <c r="E9" s="50">
        <v>50000000</v>
      </c>
      <c r="F9" s="27">
        <v>30000000</v>
      </c>
      <c r="G9" s="27">
        <v>20000000</v>
      </c>
      <c r="H9" s="27">
        <v>15000000</v>
      </c>
      <c r="I9" s="27">
        <v>4350000000</v>
      </c>
      <c r="M9" s="15">
        <f>F13</f>
        <v>184000000</v>
      </c>
    </row>
    <row r="10" spans="4:13">
      <c r="D10" s="25">
        <v>2023</v>
      </c>
      <c r="E10" s="50">
        <v>60000000</v>
      </c>
      <c r="F10" s="27">
        <v>35000000</v>
      </c>
      <c r="G10" s="27">
        <v>25000000</v>
      </c>
      <c r="H10" s="27">
        <v>18000000</v>
      </c>
      <c r="I10" s="27">
        <v>1450000000</v>
      </c>
      <c r="M10" s="15">
        <f>G13</f>
        <v>138000000</v>
      </c>
    </row>
    <row r="11" spans="4:13">
      <c r="D11" s="25">
        <v>2024</v>
      </c>
      <c r="E11" s="50">
        <v>70000000</v>
      </c>
      <c r="F11" s="27">
        <v>40000000</v>
      </c>
      <c r="G11" s="27">
        <v>30000000</v>
      </c>
      <c r="H11" s="27">
        <v>20000000</v>
      </c>
      <c r="I11" s="27">
        <v>500000000</v>
      </c>
      <c r="M11" s="15">
        <f>H13</f>
        <v>93000000</v>
      </c>
    </row>
    <row r="12" spans="4:13">
      <c r="D12" s="25">
        <v>2025</v>
      </c>
      <c r="E12" s="50">
        <v>75000000</v>
      </c>
      <c r="F12" s="27">
        <v>49000000</v>
      </c>
      <c r="G12" s="27">
        <v>43000000</v>
      </c>
      <c r="H12" s="27">
        <v>25000000</v>
      </c>
      <c r="I12" s="27">
        <v>1500000000</v>
      </c>
      <c r="M12" s="15">
        <f>I13</f>
        <v>9300000000</v>
      </c>
    </row>
    <row r="13" spans="4:13">
      <c r="E13" s="15">
        <f>SUM(E8:E12)</f>
        <v>300000000</v>
      </c>
      <c r="F13" s="15">
        <f t="shared" ref="F13:I13" si="0">SUM(F8:F12)</f>
        <v>184000000</v>
      </c>
      <c r="G13" s="15">
        <f t="shared" si="0"/>
        <v>138000000</v>
      </c>
      <c r="H13" s="15">
        <f t="shared" si="0"/>
        <v>93000000</v>
      </c>
      <c r="I13" s="15">
        <f t="shared" si="0"/>
        <v>9300000000</v>
      </c>
    </row>
    <row r="17" spans="4:13">
      <c r="D17" s="2" t="s">
        <v>2273</v>
      </c>
    </row>
    <row r="18" spans="4:13">
      <c r="D18" s="28" t="s">
        <v>2272</v>
      </c>
      <c r="E18" s="28" t="s">
        <v>899</v>
      </c>
      <c r="F18" s="28" t="s">
        <v>1835</v>
      </c>
      <c r="G18" s="29" t="s">
        <v>1836</v>
      </c>
      <c r="H18" s="29" t="s">
        <v>1837</v>
      </c>
      <c r="I18" s="29" t="s">
        <v>897</v>
      </c>
    </row>
    <row r="19" spans="4:13">
      <c r="D19" s="25">
        <v>2021</v>
      </c>
      <c r="E19" s="50">
        <f>E8*2.9</f>
        <v>130500000</v>
      </c>
      <c r="F19" s="50">
        <f t="shared" ref="F19:I19" si="1">F8*2.9</f>
        <v>87000000</v>
      </c>
      <c r="G19" s="50">
        <f t="shared" si="1"/>
        <v>58000000</v>
      </c>
      <c r="H19" s="50">
        <v>1000000</v>
      </c>
      <c r="I19" s="50">
        <f t="shared" si="1"/>
        <v>4350000000</v>
      </c>
      <c r="M19" s="15">
        <f>E24</f>
        <v>870000000</v>
      </c>
    </row>
    <row r="20" spans="4:13">
      <c r="D20" s="25">
        <v>2022</v>
      </c>
      <c r="E20" s="50">
        <f t="shared" ref="E20:I20" si="2">E9*2.9</f>
        <v>145000000</v>
      </c>
      <c r="F20" s="50">
        <f t="shared" si="2"/>
        <v>87000000</v>
      </c>
      <c r="G20" s="50">
        <f t="shared" si="2"/>
        <v>58000000</v>
      </c>
      <c r="H20" s="50">
        <f t="shared" si="2"/>
        <v>43500000</v>
      </c>
      <c r="I20" s="50">
        <f t="shared" si="2"/>
        <v>12615000000</v>
      </c>
      <c r="M20" s="15">
        <f>F24</f>
        <v>533600000</v>
      </c>
    </row>
    <row r="21" spans="4:13">
      <c r="D21" s="25">
        <v>2023</v>
      </c>
      <c r="E21" s="50">
        <f t="shared" ref="E21:I21" si="3">E10*2.9</f>
        <v>174000000</v>
      </c>
      <c r="F21" s="50">
        <f t="shared" si="3"/>
        <v>101500000</v>
      </c>
      <c r="G21" s="50">
        <f t="shared" si="3"/>
        <v>72500000</v>
      </c>
      <c r="H21" s="50">
        <f t="shared" si="3"/>
        <v>52200000</v>
      </c>
      <c r="I21" s="50">
        <f t="shared" si="3"/>
        <v>4205000000</v>
      </c>
      <c r="M21" s="15">
        <f>G24</f>
        <v>400200000</v>
      </c>
    </row>
    <row r="22" spans="4:13">
      <c r="D22" s="25">
        <v>2024</v>
      </c>
      <c r="E22" s="50">
        <f t="shared" ref="E22:I22" si="4">E11*2.9</f>
        <v>203000000</v>
      </c>
      <c r="F22" s="50">
        <f t="shared" si="4"/>
        <v>116000000</v>
      </c>
      <c r="G22" s="50">
        <f t="shared" si="4"/>
        <v>87000000</v>
      </c>
      <c r="H22" s="50">
        <f t="shared" si="4"/>
        <v>58000000</v>
      </c>
      <c r="I22" s="50">
        <f t="shared" si="4"/>
        <v>1450000000</v>
      </c>
      <c r="M22" s="15">
        <f>H24</f>
        <v>227200000</v>
      </c>
    </row>
    <row r="23" spans="4:13">
      <c r="D23" s="25">
        <v>2025</v>
      </c>
      <c r="E23" s="50">
        <f t="shared" ref="E23:I23" si="5">E12*2.9</f>
        <v>217500000</v>
      </c>
      <c r="F23" s="50">
        <f t="shared" si="5"/>
        <v>142100000</v>
      </c>
      <c r="G23" s="50">
        <f t="shared" si="5"/>
        <v>124700000</v>
      </c>
      <c r="H23" s="50">
        <f t="shared" si="5"/>
        <v>72500000</v>
      </c>
      <c r="I23" s="50">
        <f t="shared" si="5"/>
        <v>4350000000</v>
      </c>
      <c r="M23" s="15">
        <f>I24</f>
        <v>26970000000</v>
      </c>
    </row>
    <row r="24" spans="4:13">
      <c r="E24" s="15">
        <f>SUM(E19:E23)</f>
        <v>870000000</v>
      </c>
      <c r="F24" s="15">
        <f t="shared" ref="F24" si="6">SUM(F19:F23)</f>
        <v>533600000</v>
      </c>
      <c r="G24" s="15">
        <f t="shared" ref="G24" si="7">SUM(G19:G23)</f>
        <v>400200000</v>
      </c>
      <c r="H24" s="15">
        <f t="shared" ref="H24" si="8">SUM(H19:H23)</f>
        <v>227200000</v>
      </c>
      <c r="I24" s="15">
        <f t="shared" ref="I24" si="9">SUM(I19:I23)</f>
        <v>26970000000</v>
      </c>
    </row>
    <row r="28" spans="4:13">
      <c r="D28" s="2" t="s">
        <v>2274</v>
      </c>
    </row>
    <row r="29" spans="4:13">
      <c r="D29" s="28" t="s">
        <v>2272</v>
      </c>
      <c r="E29" s="28" t="s">
        <v>899</v>
      </c>
      <c r="F29" s="28" t="s">
        <v>1835</v>
      </c>
      <c r="G29" s="29" t="s">
        <v>1836</v>
      </c>
      <c r="H29" s="29" t="s">
        <v>1837</v>
      </c>
      <c r="I29" s="29" t="s">
        <v>897</v>
      </c>
    </row>
    <row r="30" spans="4:13">
      <c r="D30" s="25">
        <v>2021</v>
      </c>
      <c r="E30" s="50">
        <f>E19*2.9</f>
        <v>378450000</v>
      </c>
      <c r="F30" s="50">
        <f t="shared" ref="F30:H30" si="10">F19*2.9</f>
        <v>252300000</v>
      </c>
      <c r="G30" s="50">
        <v>2000000</v>
      </c>
      <c r="H30" s="50">
        <f t="shared" si="10"/>
        <v>2900000</v>
      </c>
      <c r="I30" s="50">
        <v>1000000000</v>
      </c>
      <c r="M30" s="15">
        <f>E35</f>
        <v>2523000000</v>
      </c>
    </row>
    <row r="31" spans="4:13">
      <c r="D31" s="25">
        <v>2022</v>
      </c>
      <c r="E31" s="50">
        <f t="shared" ref="E31:H31" si="11">E20*2.9</f>
        <v>420500000</v>
      </c>
      <c r="F31" s="50">
        <f t="shared" si="11"/>
        <v>252300000</v>
      </c>
      <c r="G31" s="50">
        <v>2000000</v>
      </c>
      <c r="H31" s="50">
        <f t="shared" si="11"/>
        <v>126150000</v>
      </c>
      <c r="I31" s="50">
        <v>1000000000</v>
      </c>
      <c r="M31" s="15">
        <f>F35</f>
        <v>1547440000</v>
      </c>
    </row>
    <row r="32" spans="4:13">
      <c r="D32" s="25">
        <v>2023</v>
      </c>
      <c r="E32" s="50">
        <f t="shared" ref="E32:H32" si="12">E21*2.9</f>
        <v>504600000</v>
      </c>
      <c r="F32" s="50">
        <f t="shared" si="12"/>
        <v>294350000</v>
      </c>
      <c r="G32" s="50">
        <v>2000000</v>
      </c>
      <c r="H32" s="50">
        <f t="shared" si="12"/>
        <v>151380000</v>
      </c>
      <c r="I32" s="50">
        <v>1000000000</v>
      </c>
      <c r="M32" s="15">
        <f>G35</f>
        <v>619930000</v>
      </c>
    </row>
    <row r="33" spans="4:13">
      <c r="D33" s="25">
        <v>2024</v>
      </c>
      <c r="E33" s="50">
        <f t="shared" ref="E33:H33" si="13">E22*2.9</f>
        <v>588700000</v>
      </c>
      <c r="F33" s="50">
        <f t="shared" si="13"/>
        <v>336400000</v>
      </c>
      <c r="G33" s="50">
        <f t="shared" si="13"/>
        <v>252300000</v>
      </c>
      <c r="H33" s="50">
        <f t="shared" si="13"/>
        <v>168200000</v>
      </c>
      <c r="I33" s="50">
        <v>1000000000</v>
      </c>
      <c r="M33" s="15">
        <f>H35</f>
        <v>658880000</v>
      </c>
    </row>
    <row r="34" spans="4:13">
      <c r="D34" s="25">
        <v>2025</v>
      </c>
      <c r="E34" s="50">
        <f t="shared" ref="E34:H34" si="14">E23*2.9</f>
        <v>630750000</v>
      </c>
      <c r="F34" s="50">
        <f t="shared" si="14"/>
        <v>412090000</v>
      </c>
      <c r="G34" s="50">
        <f t="shared" si="14"/>
        <v>361630000</v>
      </c>
      <c r="H34" s="50">
        <f t="shared" si="14"/>
        <v>210250000</v>
      </c>
      <c r="I34" s="50">
        <v>1000000000</v>
      </c>
      <c r="M34" s="15">
        <f>I35</f>
        <v>5000000000</v>
      </c>
    </row>
    <row r="35" spans="4:13">
      <c r="E35" s="15">
        <f>SUM(E30:E34)</f>
        <v>2523000000</v>
      </c>
      <c r="F35" s="15">
        <f t="shared" ref="F35" si="15">SUM(F30:F34)</f>
        <v>1547440000</v>
      </c>
      <c r="G35" s="15">
        <f t="shared" ref="G35" si="16">SUM(G30:G34)</f>
        <v>619930000</v>
      </c>
      <c r="H35" s="15">
        <f t="shared" ref="H35" si="17">SUM(H30:H34)</f>
        <v>658880000</v>
      </c>
      <c r="I35" s="15">
        <f t="shared" ref="I35" si="18">SUM(I30:I34)</f>
        <v>5000000000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082A-1CE7-4A54-9D97-3BC653B3FD2F}">
  <dimension ref="D3:P35"/>
  <sheetViews>
    <sheetView showGridLines="0" zoomScale="70" zoomScaleNormal="70" workbookViewId="0">
      <selection activeCell="N7" sqref="N7:P12"/>
    </sheetView>
  </sheetViews>
  <sheetFormatPr defaultColWidth="9" defaultRowHeight="15"/>
  <cols>
    <col min="1" max="3" width="2.42578125" style="3" customWidth="1"/>
    <col min="4" max="7" width="20" style="3" customWidth="1"/>
    <col min="8" max="9" width="9" style="3"/>
    <col min="10" max="10" width="32.42578125" style="3" customWidth="1"/>
    <col min="11" max="13" width="16.140625" style="3" customWidth="1"/>
    <col min="14" max="16" width="17.42578125" style="3" customWidth="1"/>
    <col min="17" max="16384" width="9" style="3"/>
  </cols>
  <sheetData>
    <row r="3" spans="4:16" ht="19.899999999999999" customHeight="1">
      <c r="D3" s="90" t="s">
        <v>2275</v>
      </c>
      <c r="E3" s="91"/>
      <c r="F3" s="91"/>
      <c r="G3" s="94"/>
      <c r="J3" s="90" t="s">
        <v>2276</v>
      </c>
      <c r="K3" s="91"/>
      <c r="L3" s="91"/>
      <c r="M3" s="91"/>
      <c r="N3" s="91"/>
      <c r="O3" s="91"/>
      <c r="P3" s="94"/>
    </row>
    <row r="4" spans="4:16" ht="19.899999999999999" customHeight="1">
      <c r="D4" s="92"/>
      <c r="E4" s="93"/>
      <c r="F4" s="93"/>
      <c r="G4" s="95"/>
      <c r="J4" s="92"/>
      <c r="K4" s="93"/>
      <c r="L4" s="93"/>
      <c r="M4" s="93"/>
      <c r="N4" s="93"/>
      <c r="O4" s="93"/>
      <c r="P4" s="95"/>
    </row>
    <row r="6" spans="4:16">
      <c r="D6" s="2" t="s">
        <v>2277</v>
      </c>
      <c r="J6" s="2" t="s">
        <v>2277</v>
      </c>
      <c r="K6" s="2"/>
      <c r="L6" s="2"/>
      <c r="M6" s="2"/>
      <c r="N6" s="2"/>
      <c r="O6" s="2"/>
    </row>
    <row r="7" spans="4:16">
      <c r="D7" s="28" t="s">
        <v>76</v>
      </c>
      <c r="E7" s="28" t="s">
        <v>892</v>
      </c>
      <c r="F7" s="28" t="s">
        <v>2278</v>
      </c>
      <c r="G7" s="29" t="s">
        <v>2279</v>
      </c>
      <c r="J7" s="28" t="s">
        <v>76</v>
      </c>
      <c r="K7" s="28" t="s">
        <v>2280</v>
      </c>
      <c r="L7" s="28" t="s">
        <v>2281</v>
      </c>
      <c r="M7" s="28" t="s">
        <v>2282</v>
      </c>
      <c r="N7" s="28" t="s">
        <v>2283</v>
      </c>
      <c r="O7" s="28" t="s">
        <v>2284</v>
      </c>
      <c r="P7" s="29" t="s">
        <v>2285</v>
      </c>
    </row>
    <row r="8" spans="4:16">
      <c r="D8" s="25" t="s">
        <v>899</v>
      </c>
      <c r="E8" s="50">
        <f>'Historical Exposure Dataset'!M8</f>
        <v>300000000</v>
      </c>
      <c r="F8" s="27">
        <v>0</v>
      </c>
      <c r="G8" s="27">
        <v>0</v>
      </c>
      <c r="J8" s="25" t="s">
        <v>899</v>
      </c>
      <c r="K8" s="25">
        <v>1</v>
      </c>
      <c r="L8" s="25">
        <f>K8-factor</f>
        <v>0.9962797661331696</v>
      </c>
      <c r="M8" s="25">
        <f>1+factor</f>
        <v>1.0037202338668305</v>
      </c>
      <c r="N8" s="31">
        <f>K8*G8</f>
        <v>0</v>
      </c>
      <c r="O8" s="31">
        <f>G8*L8</f>
        <v>0</v>
      </c>
      <c r="P8" s="31">
        <f>G8*M8</f>
        <v>0</v>
      </c>
    </row>
    <row r="9" spans="4:16">
      <c r="D9" s="25" t="s">
        <v>1835</v>
      </c>
      <c r="E9" s="50">
        <f>'Historical Exposure Dataset'!M9</f>
        <v>184000000</v>
      </c>
      <c r="F9" s="27">
        <v>0</v>
      </c>
      <c r="G9" s="27">
        <v>0</v>
      </c>
      <c r="J9" s="25" t="s">
        <v>1835</v>
      </c>
      <c r="K9" s="25">
        <v>1</v>
      </c>
      <c r="L9" s="25">
        <f>K9-factor</f>
        <v>0.9962797661331696</v>
      </c>
      <c r="M9" s="25">
        <f>1+factor</f>
        <v>1.0037202338668305</v>
      </c>
      <c r="N9" s="31">
        <f t="shared" ref="N9:N12" si="0">K9*G9</f>
        <v>0</v>
      </c>
      <c r="O9" s="31">
        <f t="shared" ref="O9:O12" si="1">G9*L9</f>
        <v>0</v>
      </c>
      <c r="P9" s="31">
        <f t="shared" ref="P9:P12" si="2">G9*M9</f>
        <v>0</v>
      </c>
    </row>
    <row r="10" spans="4:16">
      <c r="D10" s="25" t="s">
        <v>1836</v>
      </c>
      <c r="E10" s="50">
        <f>'Historical Exposure Dataset'!M10</f>
        <v>138000000</v>
      </c>
      <c r="F10" s="27">
        <f>'Historical Default'!M8</f>
        <v>645985942.97741604</v>
      </c>
      <c r="G10" s="27">
        <f>E10/F10</f>
        <v>0.21362693956457277</v>
      </c>
      <c r="J10" s="25" t="s">
        <v>1836</v>
      </c>
      <c r="K10" s="25">
        <v>1</v>
      </c>
      <c r="L10" s="25">
        <f>K10-factor</f>
        <v>0.9962797661331696</v>
      </c>
      <c r="M10" s="25">
        <f>1+factor</f>
        <v>1.0037202338668305</v>
      </c>
      <c r="N10" s="31">
        <f t="shared" si="0"/>
        <v>0.21362693956457277</v>
      </c>
      <c r="O10" s="31">
        <f t="shared" si="1"/>
        <v>0.21283219738913731</v>
      </c>
      <c r="P10" s="31">
        <f t="shared" si="2"/>
        <v>0.21442168174000825</v>
      </c>
    </row>
    <row r="11" spans="4:16">
      <c r="D11" s="25" t="s">
        <v>1837</v>
      </c>
      <c r="E11" s="50">
        <f>'Historical Exposure Dataset'!M11</f>
        <v>93000000</v>
      </c>
      <c r="F11" s="27">
        <f>'Historical Default'!M9</f>
        <v>246058826.29509598</v>
      </c>
      <c r="G11" s="27">
        <f t="shared" ref="G11" si="3">E11/F11</f>
        <v>0.37795839881177845</v>
      </c>
      <c r="J11" s="25" t="s">
        <v>1837</v>
      </c>
      <c r="K11" s="25">
        <v>1</v>
      </c>
      <c r="L11" s="25">
        <f>K11-factor</f>
        <v>0.9962797661331696</v>
      </c>
      <c r="M11" s="25">
        <f>1+factor</f>
        <v>1.0037202338668305</v>
      </c>
      <c r="N11" s="31">
        <f t="shared" si="0"/>
        <v>0.37795839881177845</v>
      </c>
      <c r="O11" s="31">
        <f t="shared" si="1"/>
        <v>0.37655230517626587</v>
      </c>
      <c r="P11" s="31">
        <f t="shared" si="2"/>
        <v>0.37936449244729109</v>
      </c>
    </row>
    <row r="12" spans="4:16">
      <c r="D12" s="25" t="s">
        <v>897</v>
      </c>
      <c r="E12" s="50">
        <f>'Historical Exposure Dataset'!M12</f>
        <v>9300000000</v>
      </c>
      <c r="F12" s="27">
        <f>'Historical Default'!M10</f>
        <v>8181335470.0389585</v>
      </c>
      <c r="G12" s="27">
        <f>MIN(1,E12/F12)</f>
        <v>1</v>
      </c>
      <c r="J12" s="25" t="s">
        <v>897</v>
      </c>
      <c r="K12" s="25">
        <v>1</v>
      </c>
      <c r="L12" s="25">
        <f>K12-factor</f>
        <v>0.9962797661331696</v>
      </c>
      <c r="M12" s="25">
        <f>1+factor</f>
        <v>1.0037202338668305</v>
      </c>
      <c r="N12" s="31">
        <f t="shared" si="0"/>
        <v>1</v>
      </c>
      <c r="O12" s="31">
        <f t="shared" si="1"/>
        <v>0.9962797661331696</v>
      </c>
      <c r="P12" s="31">
        <f t="shared" si="2"/>
        <v>1.0037202338668305</v>
      </c>
    </row>
    <row r="13" spans="4:16">
      <c r="E13" s="15">
        <f>SUM(E8:E12)</f>
        <v>10015000000</v>
      </c>
      <c r="F13" s="15"/>
      <c r="G13" s="71"/>
      <c r="P13" s="15"/>
    </row>
    <row r="17" spans="4:16">
      <c r="D17" s="2" t="s">
        <v>2273</v>
      </c>
      <c r="J17" s="2" t="s">
        <v>2273</v>
      </c>
      <c r="K17" s="2"/>
      <c r="L17" s="2"/>
      <c r="M17" s="2"/>
      <c r="N17" s="2"/>
      <c r="O17" s="2"/>
    </row>
    <row r="18" spans="4:16">
      <c r="D18" s="28" t="s">
        <v>76</v>
      </c>
      <c r="E18" s="28" t="s">
        <v>892</v>
      </c>
      <c r="F18" s="28" t="s">
        <v>2278</v>
      </c>
      <c r="G18" s="29" t="s">
        <v>2279</v>
      </c>
      <c r="J18" s="28" t="s">
        <v>76</v>
      </c>
      <c r="K18" s="28" t="s">
        <v>2280</v>
      </c>
      <c r="L18" s="28" t="s">
        <v>2281</v>
      </c>
      <c r="M18" s="28" t="s">
        <v>2282</v>
      </c>
      <c r="N18" s="28" t="s">
        <v>2283</v>
      </c>
      <c r="O18" s="28" t="s">
        <v>2284</v>
      </c>
      <c r="P18" s="29" t="s">
        <v>2285</v>
      </c>
    </row>
    <row r="19" spans="4:16">
      <c r="D19" s="25" t="s">
        <v>899</v>
      </c>
      <c r="E19" s="50">
        <f>'Historical Exposure Dataset'!M19</f>
        <v>870000000</v>
      </c>
      <c r="F19" s="27">
        <v>0</v>
      </c>
      <c r="G19" s="27">
        <v>0</v>
      </c>
      <c r="J19" s="25" t="s">
        <v>899</v>
      </c>
      <c r="K19" s="25">
        <v>1</v>
      </c>
      <c r="L19" s="25">
        <f>K19-factor</f>
        <v>0.9962797661331696</v>
      </c>
      <c r="M19" s="25">
        <f>1+factor</f>
        <v>1.0037202338668305</v>
      </c>
      <c r="N19" s="31">
        <f>K19*G19</f>
        <v>0</v>
      </c>
      <c r="O19" s="31">
        <f>G19*L19</f>
        <v>0</v>
      </c>
      <c r="P19" s="31">
        <f>G19*M19</f>
        <v>0</v>
      </c>
    </row>
    <row r="20" spans="4:16">
      <c r="D20" s="25" t="s">
        <v>1835</v>
      </c>
      <c r="E20" s="50">
        <f>'Historical Exposure Dataset'!M20</f>
        <v>533600000</v>
      </c>
      <c r="F20" s="27">
        <v>0</v>
      </c>
      <c r="G20" s="27">
        <v>0</v>
      </c>
      <c r="J20" s="25" t="s">
        <v>1835</v>
      </c>
      <c r="K20" s="25">
        <v>1</v>
      </c>
      <c r="L20" s="25">
        <f>K20-factor</f>
        <v>0.9962797661331696</v>
      </c>
      <c r="M20" s="25">
        <f>1+factor</f>
        <v>1.0037202338668305</v>
      </c>
      <c r="N20" s="31">
        <f t="shared" ref="N20:N23" si="4">K20*G20</f>
        <v>0</v>
      </c>
      <c r="O20" s="31">
        <f t="shared" ref="O20:O23" si="5">G20*L20</f>
        <v>0</v>
      </c>
      <c r="P20" s="31">
        <f t="shared" ref="P20:P23" si="6">G20*M20</f>
        <v>0</v>
      </c>
    </row>
    <row r="21" spans="4:16">
      <c r="D21" s="25" t="s">
        <v>1836</v>
      </c>
      <c r="E21" s="50">
        <f>'Historical Exposure Dataset'!M21</f>
        <v>400200000</v>
      </c>
      <c r="F21" s="27">
        <f>'Historical Default'!N8</f>
        <v>812288695.5670079</v>
      </c>
      <c r="G21" s="27">
        <f>E21/F21</f>
        <v>0.49268197647468853</v>
      </c>
      <c r="J21" s="25" t="s">
        <v>1836</v>
      </c>
      <c r="K21" s="25">
        <v>1</v>
      </c>
      <c r="L21" s="25">
        <f>K21-factor</f>
        <v>0.9962797661331696</v>
      </c>
      <c r="M21" s="25">
        <f>1+factor</f>
        <v>1.0037202338668305</v>
      </c>
      <c r="N21" s="31">
        <f t="shared" si="4"/>
        <v>0.49268197647468853</v>
      </c>
      <c r="O21" s="31">
        <f t="shared" si="5"/>
        <v>0.49084908430023044</v>
      </c>
      <c r="P21" s="31">
        <f t="shared" si="6"/>
        <v>0.49451486864914668</v>
      </c>
    </row>
    <row r="22" spans="4:16">
      <c r="D22" s="25" t="s">
        <v>1837</v>
      </c>
      <c r="E22" s="50">
        <f>'Historical Exposure Dataset'!M22</f>
        <v>227200000</v>
      </c>
      <c r="F22" s="27">
        <f>'Historical Default'!N9</f>
        <v>743522701.19516397</v>
      </c>
      <c r="G22" s="27">
        <f t="shared" ref="G22" si="7">E22/F22</f>
        <v>0.30557237813289478</v>
      </c>
      <c r="J22" s="25" t="s">
        <v>1837</v>
      </c>
      <c r="K22" s="25">
        <v>1</v>
      </c>
      <c r="L22" s="25">
        <f>K22-factor</f>
        <v>0.9962797661331696</v>
      </c>
      <c r="M22" s="25">
        <f>1+factor</f>
        <v>1.0037202338668305</v>
      </c>
      <c r="N22" s="31">
        <f t="shared" si="4"/>
        <v>0.30557237813289478</v>
      </c>
      <c r="O22" s="31">
        <f t="shared" si="5"/>
        <v>0.30443557742299687</v>
      </c>
      <c r="P22" s="31">
        <f t="shared" si="6"/>
        <v>0.3067091788427927</v>
      </c>
    </row>
    <row r="23" spans="4:16">
      <c r="D23" s="25" t="s">
        <v>897</v>
      </c>
      <c r="E23" s="50">
        <f>'Historical Exposure Dataset'!M23</f>
        <v>26970000000</v>
      </c>
      <c r="F23" s="27">
        <f>'Historical Default'!N10</f>
        <v>13738673352.248091</v>
      </c>
      <c r="G23" s="27">
        <f>MIN(1,E23/F23)</f>
        <v>1</v>
      </c>
      <c r="J23" s="25" t="s">
        <v>897</v>
      </c>
      <c r="K23" s="25">
        <v>1</v>
      </c>
      <c r="L23" s="25">
        <f>K23-factor</f>
        <v>0.9962797661331696</v>
      </c>
      <c r="M23" s="25">
        <f>1+factor</f>
        <v>1.0037202338668305</v>
      </c>
      <c r="N23" s="31">
        <f t="shared" si="4"/>
        <v>1</v>
      </c>
      <c r="O23" s="31">
        <f t="shared" si="5"/>
        <v>0.9962797661331696</v>
      </c>
      <c r="P23" s="31">
        <f t="shared" si="6"/>
        <v>1.0037202338668305</v>
      </c>
    </row>
    <row r="24" spans="4:16">
      <c r="E24" s="15">
        <f>SUM(E19:E23)</f>
        <v>29001000000</v>
      </c>
      <c r="F24" s="15">
        <f>SUM(F19:F23)</f>
        <v>15294484749.010262</v>
      </c>
      <c r="G24" s="15"/>
      <c r="P24" s="15"/>
    </row>
    <row r="28" spans="4:16">
      <c r="D28" s="2" t="s">
        <v>2274</v>
      </c>
      <c r="J28" s="2" t="s">
        <v>2274</v>
      </c>
      <c r="K28" s="2"/>
      <c r="L28" s="2"/>
      <c r="M28" s="2"/>
      <c r="N28" s="2"/>
      <c r="O28" s="2"/>
    </row>
    <row r="29" spans="4:16">
      <c r="D29" s="28" t="s">
        <v>76</v>
      </c>
      <c r="E29" s="28" t="s">
        <v>892</v>
      </c>
      <c r="F29" s="28" t="s">
        <v>2278</v>
      </c>
      <c r="G29" s="29" t="s">
        <v>2279</v>
      </c>
      <c r="J29" s="28" t="s">
        <v>76</v>
      </c>
      <c r="K29" s="28" t="s">
        <v>2280</v>
      </c>
      <c r="L29" s="28" t="s">
        <v>2281</v>
      </c>
      <c r="M29" s="28" t="s">
        <v>2282</v>
      </c>
      <c r="N29" s="28" t="s">
        <v>2283</v>
      </c>
      <c r="O29" s="28" t="s">
        <v>2284</v>
      </c>
      <c r="P29" s="29" t="s">
        <v>2285</v>
      </c>
    </row>
    <row r="30" spans="4:16">
      <c r="D30" s="25" t="s">
        <v>899</v>
      </c>
      <c r="E30" s="50">
        <f>'Historical Exposure Dataset'!M30</f>
        <v>2523000000</v>
      </c>
      <c r="F30" s="27">
        <v>0</v>
      </c>
      <c r="G30" s="27">
        <v>0</v>
      </c>
      <c r="J30" s="25" t="s">
        <v>899</v>
      </c>
      <c r="K30" s="25">
        <v>1</v>
      </c>
      <c r="L30" s="25">
        <f>K30-factor</f>
        <v>0.9962797661331696</v>
      </c>
      <c r="M30" s="25">
        <f>1+factor</f>
        <v>1.0037202338668305</v>
      </c>
      <c r="N30" s="31">
        <f>K30*G30</f>
        <v>0</v>
      </c>
      <c r="O30" s="31">
        <f>G30*L30</f>
        <v>0</v>
      </c>
      <c r="P30" s="31">
        <f>G30*M30</f>
        <v>0</v>
      </c>
    </row>
    <row r="31" spans="4:16">
      <c r="D31" s="25" t="s">
        <v>1835</v>
      </c>
      <c r="E31" s="50">
        <f>'Historical Exposure Dataset'!M31</f>
        <v>1547440000</v>
      </c>
      <c r="F31" s="27">
        <v>0</v>
      </c>
      <c r="G31" s="27">
        <v>0</v>
      </c>
      <c r="J31" s="25" t="s">
        <v>1835</v>
      </c>
      <c r="K31" s="25">
        <v>1</v>
      </c>
      <c r="L31" s="25">
        <f>K31-factor</f>
        <v>0.9962797661331696</v>
      </c>
      <c r="M31" s="25">
        <f>1+factor</f>
        <v>1.0037202338668305</v>
      </c>
      <c r="N31" s="31">
        <f t="shared" ref="N31:N34" si="8">K31*G31</f>
        <v>0</v>
      </c>
      <c r="O31" s="31">
        <f t="shared" ref="O31:O34" si="9">G31*L31</f>
        <v>0</v>
      </c>
      <c r="P31" s="31">
        <f t="shared" ref="P31:P34" si="10">G31*M31</f>
        <v>0</v>
      </c>
    </row>
    <row r="32" spans="4:16">
      <c r="D32" s="25" t="s">
        <v>1836</v>
      </c>
      <c r="E32" s="50">
        <f>'Historical Exposure Dataset'!M32</f>
        <v>619930000</v>
      </c>
      <c r="F32" s="27">
        <f>'Historical Default'!O8</f>
        <v>2011633513.60988</v>
      </c>
      <c r="G32" s="27">
        <f>E32/F32</f>
        <v>0.30817243588646248</v>
      </c>
      <c r="J32" s="25" t="s">
        <v>1836</v>
      </c>
      <c r="K32" s="25">
        <v>1</v>
      </c>
      <c r="L32" s="25">
        <f>K32-factor</f>
        <v>0.9962797661331696</v>
      </c>
      <c r="M32" s="25">
        <f>1+factor</f>
        <v>1.0037202338668305</v>
      </c>
      <c r="N32" s="31">
        <f t="shared" si="8"/>
        <v>0.30817243588646248</v>
      </c>
      <c r="O32" s="31">
        <f t="shared" si="9"/>
        <v>0.30702596235365404</v>
      </c>
      <c r="P32" s="31">
        <f t="shared" si="10"/>
        <v>0.30931890941927093</v>
      </c>
    </row>
    <row r="33" spans="4:16">
      <c r="D33" s="25" t="s">
        <v>1837</v>
      </c>
      <c r="E33" s="50">
        <f>'Historical Exposure Dataset'!M33</f>
        <v>658880000</v>
      </c>
      <c r="F33" s="27">
        <f>'Historical Default'!O9</f>
        <v>1111007617.2166319</v>
      </c>
      <c r="G33" s="27">
        <f t="shared" ref="G33" si="11">E33/F33</f>
        <v>0.59304723909154533</v>
      </c>
      <c r="J33" s="25" t="s">
        <v>1837</v>
      </c>
      <c r="K33" s="25">
        <v>1</v>
      </c>
      <c r="L33" s="25">
        <f>K33-factor</f>
        <v>0.9962797661331696</v>
      </c>
      <c r="M33" s="25">
        <f>1+factor</f>
        <v>1.0037202338668305</v>
      </c>
      <c r="N33" s="31">
        <f t="shared" si="8"/>
        <v>0.59304723909154533</v>
      </c>
      <c r="O33" s="31">
        <f t="shared" si="9"/>
        <v>0.5908409646680467</v>
      </c>
      <c r="P33" s="31">
        <f t="shared" si="10"/>
        <v>0.59525351351504407</v>
      </c>
    </row>
    <row r="34" spans="4:16">
      <c r="D34" s="25" t="s">
        <v>897</v>
      </c>
      <c r="E34" s="50">
        <f>'Historical Exposure Dataset'!M34</f>
        <v>5000000000</v>
      </c>
      <c r="F34" s="27">
        <f>'Historical Default'!O10</f>
        <v>2501130179.4149518</v>
      </c>
      <c r="G34" s="27">
        <f>MIN(E34/F34,1)</f>
        <v>1</v>
      </c>
      <c r="J34" s="25" t="s">
        <v>897</v>
      </c>
      <c r="K34" s="25">
        <v>1</v>
      </c>
      <c r="L34" s="25">
        <f>K34-factor</f>
        <v>0.9962797661331696</v>
      </c>
      <c r="M34" s="25">
        <f>1+factor</f>
        <v>1.0037202338668305</v>
      </c>
      <c r="N34" s="31">
        <f t="shared" si="8"/>
        <v>1</v>
      </c>
      <c r="O34" s="31">
        <f t="shared" si="9"/>
        <v>0.9962797661331696</v>
      </c>
      <c r="P34" s="31">
        <f t="shared" si="10"/>
        <v>1.0037202338668305</v>
      </c>
    </row>
    <row r="35" spans="4:16">
      <c r="E35" s="15">
        <f>SUM(E30:E34)</f>
        <v>10349250000</v>
      </c>
      <c r="F35" s="15">
        <f>SUM(F30:F34)</f>
        <v>5623771310.2414637</v>
      </c>
      <c r="G35" s="15">
        <f t="shared" ref="G35" si="12">SUM(G30:G34)</f>
        <v>1.9012196749780079</v>
      </c>
      <c r="P35" s="15"/>
    </row>
  </sheetData>
  <mergeCells count="2">
    <mergeCell ref="D3:G4"/>
    <mergeCell ref="J3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0212-50A8-46D4-B064-5161AAB3F0E3}">
  <dimension ref="D3:Y89"/>
  <sheetViews>
    <sheetView showGridLines="0" topLeftCell="A50" zoomScale="80" zoomScaleNormal="80" workbookViewId="0">
      <selection activeCell="D90" sqref="D90"/>
    </sheetView>
  </sheetViews>
  <sheetFormatPr defaultColWidth="9" defaultRowHeight="15"/>
  <cols>
    <col min="1" max="3" width="2.42578125" style="3" customWidth="1"/>
    <col min="4" max="4" width="20" style="3" customWidth="1"/>
    <col min="5" max="5" width="31.28515625" style="3" customWidth="1"/>
    <col min="6" max="6" width="30.85546875" style="3" customWidth="1"/>
    <col min="7" max="7" width="20" style="3" customWidth="1"/>
    <col min="8" max="16" width="9" style="3"/>
    <col min="17" max="17" width="16.140625" style="3" customWidth="1"/>
    <col min="18" max="18" width="13.5703125" style="3" customWidth="1"/>
    <col min="19" max="19" width="15.28515625" style="3" customWidth="1"/>
    <col min="20" max="25" width="12.7109375" style="3" customWidth="1"/>
    <col min="26" max="16384" width="9" style="3"/>
  </cols>
  <sheetData>
    <row r="3" spans="4:25" ht="21" customHeight="1">
      <c r="D3" s="90" t="s">
        <v>2286</v>
      </c>
      <c r="E3" s="91"/>
      <c r="F3" s="91"/>
      <c r="G3" s="94"/>
    </row>
    <row r="4" spans="4:25" ht="21" customHeight="1">
      <c r="D4" s="92"/>
      <c r="E4" s="93"/>
      <c r="F4" s="93"/>
      <c r="G4" s="95"/>
    </row>
    <row r="7" spans="4:25" ht="45">
      <c r="D7" s="57" t="s">
        <v>2287</v>
      </c>
      <c r="E7" s="58" t="s">
        <v>2288</v>
      </c>
      <c r="F7" s="58" t="s">
        <v>2289</v>
      </c>
      <c r="G7" s="58" t="s">
        <v>2290</v>
      </c>
      <c r="H7" s="59" t="s">
        <v>2291</v>
      </c>
      <c r="K7" s="57" t="s">
        <v>2288</v>
      </c>
      <c r="L7" s="58" t="s">
        <v>2289</v>
      </c>
      <c r="M7" s="58" t="s">
        <v>2290</v>
      </c>
      <c r="N7" s="59" t="s">
        <v>2291</v>
      </c>
    </row>
    <row r="8" spans="4:25">
      <c r="D8" s="60">
        <v>43831</v>
      </c>
      <c r="E8" s="72">
        <v>8.1999999999999987E-5</v>
      </c>
      <c r="F8" s="61">
        <v>0.11</v>
      </c>
      <c r="G8" s="61">
        <v>360</v>
      </c>
      <c r="H8" s="62">
        <v>0.12</v>
      </c>
      <c r="I8" s="3">
        <f>E8/100</f>
        <v>8.1999999999999988E-7</v>
      </c>
      <c r="K8" s="10">
        <f>STANDARDIZE(E8,AVERAGE($E$8:$E$67),_xlfn.STDEV.S($E$8:$E$67))</f>
        <v>-2.4029633134769401</v>
      </c>
      <c r="L8" s="3">
        <f>STANDARDIZE(F8,AVERAGE($F$8:$F$67),_xlfn.STDEV.S($F$8:$F$67))</f>
        <v>-1.7497928078933198</v>
      </c>
      <c r="M8" s="3">
        <f>STANDARDIZE(G8,AVERAGE($G$8:$G$67),_xlfn.STDEV.S($G$8:$G$67))</f>
        <v>-0.85428944532192708</v>
      </c>
      <c r="N8" s="11">
        <f>STANDARDIZE(H8,AVERAGE($H$8:$H$67),_xlfn.STDEV.S($H$8:$H$67))</f>
        <v>-1.3078735460696775</v>
      </c>
      <c r="Q8" s="1" t="s">
        <v>2292</v>
      </c>
      <c r="R8"/>
      <c r="S8"/>
      <c r="T8"/>
      <c r="U8"/>
      <c r="V8"/>
      <c r="W8"/>
      <c r="X8"/>
      <c r="Y8"/>
    </row>
    <row r="9" spans="4:25" ht="15.75" thickBot="1">
      <c r="D9" s="60">
        <v>43862</v>
      </c>
      <c r="E9" s="72">
        <v>8.5000000000000006E-3</v>
      </c>
      <c r="F9" s="61">
        <v>0.11199999999999999</v>
      </c>
      <c r="G9" s="61">
        <v>362</v>
      </c>
      <c r="H9" s="62">
        <v>0.121</v>
      </c>
      <c r="I9" s="3">
        <f t="shared" ref="I9:I67" si="0">E9/100</f>
        <v>8.5000000000000006E-5</v>
      </c>
      <c r="K9" s="10">
        <f t="shared" ref="K9:K67" si="1">STANDARDIZE(E9,AVERAGE($E$8:$E$67),_xlfn.STDEV.S($E$8:$E$67))</f>
        <v>-1.2933172383975968</v>
      </c>
      <c r="L9" s="3">
        <f t="shared" ref="L9:L67" si="2">STANDARDIZE(F9,AVERAGE($F$8:$F$67),_xlfn.STDEV.S($F$8:$F$67))</f>
        <v>-1.7106840098029499</v>
      </c>
      <c r="M9" s="3">
        <f t="shared" ref="M9:M67" si="3">STANDARDIZE(G9,AVERAGE($G$8:$G$67),_xlfn.STDEV.S($G$8:$G$67))</f>
        <v>-0.85030705337729839</v>
      </c>
      <c r="N9" s="11">
        <f t="shared" ref="N9:N67" si="4">STANDARDIZE(H9,AVERAGE($H$8:$H$67),_xlfn.STDEV.S($H$8:$H$67))</f>
        <v>-1.288161812142478</v>
      </c>
      <c r="Q9"/>
      <c r="R9"/>
      <c r="S9"/>
      <c r="T9"/>
      <c r="U9"/>
      <c r="V9"/>
      <c r="W9"/>
      <c r="X9"/>
      <c r="Y9"/>
    </row>
    <row r="10" spans="4:25">
      <c r="D10" s="60">
        <v>43891</v>
      </c>
      <c r="E10" s="72">
        <v>8.8000000000000005E-3</v>
      </c>
      <c r="F10" s="61">
        <v>0.115</v>
      </c>
      <c r="G10" s="61">
        <v>365</v>
      </c>
      <c r="H10" s="62">
        <v>0.12300000000000001</v>
      </c>
      <c r="I10" s="3">
        <f t="shared" si="0"/>
        <v>8.8000000000000011E-5</v>
      </c>
      <c r="K10" s="10">
        <f t="shared" si="1"/>
        <v>-1.2537717617376058</v>
      </c>
      <c r="L10" s="3">
        <f t="shared" si="2"/>
        <v>-1.6520208126673939</v>
      </c>
      <c r="M10" s="3">
        <f t="shared" si="3"/>
        <v>-0.84433346546035537</v>
      </c>
      <c r="N10" s="11">
        <f t="shared" si="4"/>
        <v>-1.2487383442880791</v>
      </c>
      <c r="Q10" s="68" t="s">
        <v>2293</v>
      </c>
      <c r="R10" s="68"/>
      <c r="S10"/>
      <c r="T10"/>
      <c r="U10"/>
      <c r="V10"/>
      <c r="W10"/>
      <c r="X10"/>
      <c r="Y10"/>
    </row>
    <row r="11" spans="4:25">
      <c r="D11" s="60">
        <v>43922</v>
      </c>
      <c r="E11" s="72">
        <v>9.1999999999999998E-3</v>
      </c>
      <c r="F11" s="61">
        <v>0.12</v>
      </c>
      <c r="G11" s="61">
        <v>368</v>
      </c>
      <c r="H11" s="62">
        <v>0.126</v>
      </c>
      <c r="I11" s="3">
        <f t="shared" si="0"/>
        <v>9.2E-5</v>
      </c>
      <c r="K11" s="10">
        <f t="shared" si="1"/>
        <v>-1.2010444595242848</v>
      </c>
      <c r="L11" s="3">
        <f t="shared" si="2"/>
        <v>-1.5542488174414681</v>
      </c>
      <c r="M11" s="3">
        <f t="shared" si="3"/>
        <v>-0.83835987754341246</v>
      </c>
      <c r="N11" s="11">
        <f t="shared" si="4"/>
        <v>-1.1896031425064812</v>
      </c>
      <c r="Q11" t="s">
        <v>2294</v>
      </c>
      <c r="R11">
        <v>0.99864103397284165</v>
      </c>
      <c r="S11"/>
      <c r="T11"/>
      <c r="U11"/>
      <c r="V11"/>
      <c r="W11"/>
      <c r="X11"/>
      <c r="Y11"/>
    </row>
    <row r="12" spans="4:25">
      <c r="D12" s="60">
        <v>43952</v>
      </c>
      <c r="E12" s="72">
        <v>9.5999999999999992E-3</v>
      </c>
      <c r="F12" s="61">
        <v>0.125</v>
      </c>
      <c r="G12" s="61">
        <v>372</v>
      </c>
      <c r="H12" s="62">
        <v>0.129</v>
      </c>
      <c r="I12" s="3">
        <f t="shared" si="0"/>
        <v>9.5999999999999989E-5</v>
      </c>
      <c r="K12" s="10">
        <f t="shared" si="1"/>
        <v>-1.1483171573109638</v>
      </c>
      <c r="L12" s="3">
        <f t="shared" si="2"/>
        <v>-1.4564768222155422</v>
      </c>
      <c r="M12" s="3">
        <f t="shared" si="3"/>
        <v>-0.83039509365415509</v>
      </c>
      <c r="N12" s="11">
        <f t="shared" si="4"/>
        <v>-1.130467940724883</v>
      </c>
      <c r="Q12" t="s">
        <v>2295</v>
      </c>
      <c r="R12">
        <v>0.99728391473434619</v>
      </c>
      <c r="S12"/>
      <c r="T12"/>
      <c r="U12"/>
      <c r="V12"/>
      <c r="W12"/>
      <c r="X12"/>
      <c r="Y12"/>
    </row>
    <row r="13" spans="4:25">
      <c r="D13" s="60">
        <v>43983</v>
      </c>
      <c r="E13" s="72">
        <v>1.0200000000000001E-2</v>
      </c>
      <c r="F13" s="61">
        <v>0.13</v>
      </c>
      <c r="G13" s="61">
        <v>380</v>
      </c>
      <c r="H13" s="62">
        <v>0.13200000000000001</v>
      </c>
      <c r="I13" s="3">
        <f t="shared" si="0"/>
        <v>1.0200000000000001E-4</v>
      </c>
      <c r="K13" s="10">
        <f t="shared" si="1"/>
        <v>-1.0692262039909819</v>
      </c>
      <c r="L13" s="3">
        <f t="shared" si="2"/>
        <v>-1.3587048269896163</v>
      </c>
      <c r="M13" s="3">
        <f t="shared" si="3"/>
        <v>-0.81446552587564036</v>
      </c>
      <c r="N13" s="11">
        <f t="shared" si="4"/>
        <v>-1.071332738943285</v>
      </c>
      <c r="Q13" t="s">
        <v>2296</v>
      </c>
      <c r="R13">
        <v>0.99713841016654325</v>
      </c>
      <c r="S13"/>
      <c r="T13"/>
      <c r="U13"/>
      <c r="V13"/>
      <c r="W13"/>
      <c r="X13"/>
      <c r="Y13"/>
    </row>
    <row r="14" spans="4:25">
      <c r="D14" s="60">
        <v>44013</v>
      </c>
      <c r="E14" s="72">
        <v>1.0800000000000001E-2</v>
      </c>
      <c r="F14" s="61">
        <v>0.13500000000000001</v>
      </c>
      <c r="G14" s="61">
        <v>385</v>
      </c>
      <c r="H14" s="62">
        <v>0.13500000000000001</v>
      </c>
      <c r="I14" s="3">
        <f t="shared" si="0"/>
        <v>1.0800000000000001E-4</v>
      </c>
      <c r="K14" s="10">
        <f t="shared" si="1"/>
        <v>-0.99013525067100028</v>
      </c>
      <c r="L14" s="3">
        <f t="shared" si="2"/>
        <v>-1.2609328317636901</v>
      </c>
      <c r="M14" s="3">
        <f t="shared" si="3"/>
        <v>-0.80450954601406865</v>
      </c>
      <c r="N14" s="11">
        <f t="shared" si="4"/>
        <v>-1.0121975371616867</v>
      </c>
      <c r="Q14" t="s">
        <v>2297</v>
      </c>
      <c r="R14">
        <v>5.3493829863422049E-2</v>
      </c>
      <c r="S14"/>
      <c r="T14"/>
      <c r="U14"/>
      <c r="V14"/>
      <c r="W14"/>
      <c r="X14"/>
      <c r="Y14"/>
    </row>
    <row r="15" spans="4:25" ht="15.75" thickBot="1">
      <c r="D15" s="60">
        <v>44044</v>
      </c>
      <c r="E15" s="72">
        <v>1.1200000000000002E-2</v>
      </c>
      <c r="F15" s="61">
        <v>0.14000000000000001</v>
      </c>
      <c r="G15" s="61">
        <v>390</v>
      </c>
      <c r="H15" s="62">
        <v>0.13699999999999998</v>
      </c>
      <c r="I15" s="3">
        <f t="shared" si="0"/>
        <v>1.1200000000000001E-4</v>
      </c>
      <c r="K15" s="10">
        <f t="shared" si="1"/>
        <v>-0.93740794845767905</v>
      </c>
      <c r="L15" s="3">
        <f t="shared" si="2"/>
        <v>-1.1631608365377641</v>
      </c>
      <c r="M15" s="3">
        <f t="shared" si="3"/>
        <v>-0.79455356615249706</v>
      </c>
      <c r="N15" s="11">
        <f t="shared" si="4"/>
        <v>-0.9727740693072886</v>
      </c>
      <c r="Q15" s="66" t="s">
        <v>2298</v>
      </c>
      <c r="R15" s="66">
        <v>60</v>
      </c>
      <c r="S15"/>
      <c r="T15"/>
      <c r="U15"/>
      <c r="V15"/>
      <c r="W15"/>
      <c r="X15"/>
      <c r="Y15"/>
    </row>
    <row r="16" spans="4:25">
      <c r="D16" s="60">
        <v>44075</v>
      </c>
      <c r="E16" s="72">
        <v>1.18E-2</v>
      </c>
      <c r="F16" s="61">
        <v>0.14499999999999999</v>
      </c>
      <c r="G16" s="61">
        <v>395</v>
      </c>
      <c r="H16" s="62">
        <v>0.14000000000000001</v>
      </c>
      <c r="I16" s="3">
        <f t="shared" si="0"/>
        <v>1.18E-4</v>
      </c>
      <c r="K16" s="10">
        <f t="shared" si="1"/>
        <v>-0.85831699513769755</v>
      </c>
      <c r="L16" s="3">
        <f t="shared" si="2"/>
        <v>-1.0653888413118386</v>
      </c>
      <c r="M16" s="3">
        <f t="shared" si="3"/>
        <v>-0.78459758629092535</v>
      </c>
      <c r="N16" s="11">
        <f t="shared" si="4"/>
        <v>-0.9136388675256899</v>
      </c>
      <c r="Q16"/>
      <c r="R16"/>
      <c r="S16"/>
      <c r="T16"/>
      <c r="U16"/>
      <c r="V16"/>
      <c r="W16"/>
      <c r="X16"/>
      <c r="Y16"/>
    </row>
    <row r="17" spans="4:25" ht="15.75" thickBot="1">
      <c r="D17" s="60">
        <v>44105</v>
      </c>
      <c r="E17" s="72">
        <v>1.2500000000000001E-2</v>
      </c>
      <c r="F17" s="61">
        <v>0.15</v>
      </c>
      <c r="G17" s="61">
        <v>400</v>
      </c>
      <c r="H17" s="62">
        <v>0.14300000000000002</v>
      </c>
      <c r="I17" s="3">
        <f t="shared" si="0"/>
        <v>1.25E-4</v>
      </c>
      <c r="K17" s="10">
        <f t="shared" si="1"/>
        <v>-0.76604421626438546</v>
      </c>
      <c r="L17" s="3">
        <f t="shared" si="2"/>
        <v>-0.9676168460859127</v>
      </c>
      <c r="M17" s="3">
        <f t="shared" si="3"/>
        <v>-0.77464160642935365</v>
      </c>
      <c r="N17" s="11">
        <f t="shared" si="4"/>
        <v>-0.85450366574409176</v>
      </c>
      <c r="Q17" t="s">
        <v>2299</v>
      </c>
      <c r="R17"/>
      <c r="S17"/>
      <c r="T17"/>
      <c r="U17"/>
      <c r="V17"/>
      <c r="W17"/>
      <c r="X17"/>
      <c r="Y17"/>
    </row>
    <row r="18" spans="4:25">
      <c r="D18" s="60">
        <v>44136</v>
      </c>
      <c r="E18" s="72">
        <v>1.2800000000000001E-2</v>
      </c>
      <c r="F18" s="61">
        <v>0.155</v>
      </c>
      <c r="G18" s="61">
        <v>405</v>
      </c>
      <c r="H18" s="62">
        <v>0.14599999999999999</v>
      </c>
      <c r="I18" s="3">
        <f t="shared" si="0"/>
        <v>1.2799999999999999E-4</v>
      </c>
      <c r="K18" s="10">
        <f t="shared" si="1"/>
        <v>-0.72649873960439459</v>
      </c>
      <c r="L18" s="3">
        <f t="shared" si="2"/>
        <v>-0.86984485085998675</v>
      </c>
      <c r="M18" s="3">
        <f t="shared" si="3"/>
        <v>-0.76468562656778194</v>
      </c>
      <c r="N18" s="11">
        <f t="shared" si="4"/>
        <v>-0.79536846396249417</v>
      </c>
      <c r="Q18" s="67"/>
      <c r="R18" s="67" t="s">
        <v>2300</v>
      </c>
      <c r="S18" s="67" t="s">
        <v>2301</v>
      </c>
      <c r="T18" s="67" t="s">
        <v>2302</v>
      </c>
      <c r="U18" s="67" t="s">
        <v>2303</v>
      </c>
      <c r="V18" s="67" t="s">
        <v>2304</v>
      </c>
      <c r="W18"/>
      <c r="X18"/>
      <c r="Y18"/>
    </row>
    <row r="19" spans="4:25">
      <c r="D19" s="60">
        <v>44166</v>
      </c>
      <c r="E19" s="72">
        <v>1.32E-2</v>
      </c>
      <c r="F19" s="61">
        <v>0.16</v>
      </c>
      <c r="G19" s="61">
        <v>410</v>
      </c>
      <c r="H19" s="62">
        <v>0.15</v>
      </c>
      <c r="I19" s="3">
        <f t="shared" si="0"/>
        <v>1.3200000000000001E-4</v>
      </c>
      <c r="K19" s="10">
        <f t="shared" si="1"/>
        <v>-0.67377143739107359</v>
      </c>
      <c r="L19" s="3">
        <f t="shared" si="2"/>
        <v>-0.7720728556340607</v>
      </c>
      <c r="M19" s="3">
        <f t="shared" si="3"/>
        <v>-0.75472964670621034</v>
      </c>
      <c r="N19" s="11">
        <f t="shared" si="4"/>
        <v>-0.71652152825369664</v>
      </c>
      <c r="Q19" t="s">
        <v>2305</v>
      </c>
      <c r="R19">
        <v>3</v>
      </c>
      <c r="S19">
        <v>58.839750969326325</v>
      </c>
      <c r="T19">
        <v>19.613250323108776</v>
      </c>
      <c r="U19">
        <v>6853.9698085998416</v>
      </c>
      <c r="V19">
        <v>8.543329931423529E-72</v>
      </c>
      <c r="W19"/>
      <c r="X19"/>
      <c r="Y19"/>
    </row>
    <row r="20" spans="4:25">
      <c r="D20" s="60">
        <v>44197</v>
      </c>
      <c r="E20" s="72">
        <v>1.3000000000000001E-2</v>
      </c>
      <c r="F20" s="61">
        <v>0.16200000000000001</v>
      </c>
      <c r="G20" s="61">
        <v>415</v>
      </c>
      <c r="H20" s="62">
        <v>0.14800000000000002</v>
      </c>
      <c r="I20" s="3">
        <f t="shared" si="0"/>
        <v>1.3000000000000002E-4</v>
      </c>
      <c r="K20" s="10">
        <f t="shared" si="1"/>
        <v>-0.70013508849773398</v>
      </c>
      <c r="L20" s="3">
        <f t="shared" si="2"/>
        <v>-0.73296405754369032</v>
      </c>
      <c r="M20" s="3">
        <f t="shared" si="3"/>
        <v>-0.74477366684463864</v>
      </c>
      <c r="N20" s="11">
        <f t="shared" si="4"/>
        <v>-0.75594499610809485</v>
      </c>
      <c r="Q20" t="s">
        <v>2306</v>
      </c>
      <c r="R20">
        <v>56</v>
      </c>
      <c r="S20">
        <v>0.16024903067357768</v>
      </c>
      <c r="T20">
        <v>2.8615898334567445E-3</v>
      </c>
      <c r="U20"/>
      <c r="V20"/>
      <c r="W20"/>
      <c r="X20"/>
      <c r="Y20"/>
    </row>
    <row r="21" spans="4:25" ht="15.75" thickBot="1">
      <c r="D21" s="60">
        <v>44228</v>
      </c>
      <c r="E21" s="72">
        <v>1.2800000000000001E-2</v>
      </c>
      <c r="F21" s="61">
        <v>0.16</v>
      </c>
      <c r="G21" s="61">
        <v>420</v>
      </c>
      <c r="H21" s="62">
        <v>0.14499999999999999</v>
      </c>
      <c r="I21" s="3">
        <f t="shared" si="0"/>
        <v>1.2799999999999999E-4</v>
      </c>
      <c r="K21" s="10">
        <f t="shared" si="1"/>
        <v>-0.72649873960439459</v>
      </c>
      <c r="L21" s="3">
        <f t="shared" si="2"/>
        <v>-0.7720728556340607</v>
      </c>
      <c r="M21" s="3">
        <f t="shared" si="3"/>
        <v>-0.73481768698306693</v>
      </c>
      <c r="N21" s="11">
        <f t="shared" si="4"/>
        <v>-0.81508019788969355</v>
      </c>
      <c r="Q21" s="66" t="s">
        <v>2307</v>
      </c>
      <c r="R21" s="66">
        <v>59</v>
      </c>
      <c r="S21" s="66">
        <v>58.999999999999901</v>
      </c>
      <c r="T21" s="66"/>
      <c r="U21" s="66"/>
      <c r="V21" s="66"/>
      <c r="W21"/>
      <c r="X21"/>
      <c r="Y21"/>
    </row>
    <row r="22" spans="4:25" ht="15.75" thickBot="1">
      <c r="D22" s="60">
        <v>44256</v>
      </c>
      <c r="E22" s="72">
        <v>1.2500000000000001E-2</v>
      </c>
      <c r="F22" s="61">
        <v>0.158</v>
      </c>
      <c r="G22" s="61">
        <v>422</v>
      </c>
      <c r="H22" s="62">
        <v>0.14199999999999999</v>
      </c>
      <c r="I22" s="3">
        <f t="shared" si="0"/>
        <v>1.25E-4</v>
      </c>
      <c r="K22" s="10">
        <f t="shared" si="1"/>
        <v>-0.76604421626438546</v>
      </c>
      <c r="L22" s="3">
        <f t="shared" si="2"/>
        <v>-0.81118165372443107</v>
      </c>
      <c r="M22" s="3">
        <f t="shared" si="3"/>
        <v>-0.73083529503843825</v>
      </c>
      <c r="N22" s="11">
        <f t="shared" si="4"/>
        <v>-0.87421539967129169</v>
      </c>
      <c r="Q22"/>
      <c r="R22"/>
      <c r="S22"/>
      <c r="T22"/>
      <c r="U22"/>
      <c r="V22"/>
      <c r="W22"/>
      <c r="X22"/>
      <c r="Y22"/>
    </row>
    <row r="23" spans="4:25">
      <c r="D23" s="60">
        <v>44287</v>
      </c>
      <c r="E23" s="72">
        <v>1.2199999999999999E-2</v>
      </c>
      <c r="F23" s="61">
        <v>0.155</v>
      </c>
      <c r="G23" s="61">
        <v>425</v>
      </c>
      <c r="H23" s="62">
        <v>0.14000000000000001</v>
      </c>
      <c r="I23" s="3">
        <f t="shared" si="0"/>
        <v>1.2199999999999998E-4</v>
      </c>
      <c r="K23" s="10">
        <f t="shared" si="1"/>
        <v>-0.80558969292437654</v>
      </c>
      <c r="L23" s="3">
        <f t="shared" si="2"/>
        <v>-0.86984485085998675</v>
      </c>
      <c r="M23" s="3">
        <f t="shared" si="3"/>
        <v>-0.72486170712149522</v>
      </c>
      <c r="N23" s="11">
        <f t="shared" si="4"/>
        <v>-0.9136388675256899</v>
      </c>
      <c r="Q23" s="67"/>
      <c r="R23" s="67" t="s">
        <v>2308</v>
      </c>
      <c r="S23" s="67" t="s">
        <v>2297</v>
      </c>
      <c r="T23" s="67" t="s">
        <v>2309</v>
      </c>
      <c r="U23" s="67" t="s">
        <v>2310</v>
      </c>
      <c r="V23" s="67" t="s">
        <v>2311</v>
      </c>
      <c r="W23" s="67" t="s">
        <v>2312</v>
      </c>
      <c r="X23" s="67" t="s">
        <v>2313</v>
      </c>
      <c r="Y23" s="67" t="s">
        <v>2314</v>
      </c>
    </row>
    <row r="24" spans="4:25">
      <c r="D24" s="60">
        <v>44317</v>
      </c>
      <c r="E24" s="72">
        <v>1.18E-2</v>
      </c>
      <c r="F24" s="61">
        <v>0.152</v>
      </c>
      <c r="G24" s="61">
        <v>428</v>
      </c>
      <c r="H24" s="62">
        <v>0.13800000000000001</v>
      </c>
      <c r="I24" s="3">
        <f t="shared" si="0"/>
        <v>1.18E-4</v>
      </c>
      <c r="K24" s="10">
        <f t="shared" si="1"/>
        <v>-0.85831699513769755</v>
      </c>
      <c r="L24" s="3">
        <f t="shared" si="2"/>
        <v>-0.92850804799554232</v>
      </c>
      <c r="M24" s="3">
        <f t="shared" si="3"/>
        <v>-0.71888811920455231</v>
      </c>
      <c r="N24" s="11">
        <f t="shared" si="4"/>
        <v>-0.95306233538008867</v>
      </c>
      <c r="Q24" t="s">
        <v>2315</v>
      </c>
      <c r="R24">
        <v>1.3369469960693009E-16</v>
      </c>
      <c r="S24">
        <v>6.9060237395295512E-3</v>
      </c>
      <c r="T24">
        <v>1.9359142778741384E-14</v>
      </c>
      <c r="U24" s="69">
        <v>1</v>
      </c>
      <c r="V24">
        <v>-1.3834427960355519E-2</v>
      </c>
      <c r="W24">
        <v>1.3834427960355786E-2</v>
      </c>
      <c r="X24">
        <v>-1.3834427960355519E-2</v>
      </c>
      <c r="Y24">
        <v>1.3834427960355786E-2</v>
      </c>
    </row>
    <row r="25" spans="4:25">
      <c r="D25" s="60">
        <v>44348</v>
      </c>
      <c r="E25" s="72">
        <v>1.15E-2</v>
      </c>
      <c r="F25" s="61">
        <v>0.15</v>
      </c>
      <c r="G25" s="61">
        <v>430</v>
      </c>
      <c r="H25" s="62">
        <v>0.13600000000000001</v>
      </c>
      <c r="I25" s="3">
        <f t="shared" si="0"/>
        <v>1.15E-4</v>
      </c>
      <c r="K25" s="10">
        <f t="shared" si="1"/>
        <v>-0.89786247179768841</v>
      </c>
      <c r="L25" s="3">
        <f t="shared" si="2"/>
        <v>-0.9676168460859127</v>
      </c>
      <c r="M25" s="3">
        <f t="shared" si="3"/>
        <v>-0.71490572725992363</v>
      </c>
      <c r="N25" s="11">
        <f t="shared" si="4"/>
        <v>-0.99248580323448743</v>
      </c>
      <c r="Q25" t="s">
        <v>2289</v>
      </c>
      <c r="R25">
        <v>8.8047414825690271E-2</v>
      </c>
      <c r="S25">
        <v>2.4427552808742509E-2</v>
      </c>
      <c r="T25">
        <v>3.6044304361990163</v>
      </c>
      <c r="U25" s="69">
        <v>6.6604958891438172E-4</v>
      </c>
      <c r="V25">
        <v>3.9113146377410556E-2</v>
      </c>
      <c r="W25">
        <v>0.13698168327396998</v>
      </c>
      <c r="X25">
        <v>3.9113146377410556E-2</v>
      </c>
      <c r="Y25">
        <v>0.13698168327396998</v>
      </c>
    </row>
    <row r="26" spans="4:25">
      <c r="D26" s="60">
        <v>44378</v>
      </c>
      <c r="E26" s="72">
        <v>1.1200000000000002E-2</v>
      </c>
      <c r="F26" s="61">
        <v>0.152</v>
      </c>
      <c r="G26" s="61">
        <v>432</v>
      </c>
      <c r="H26" s="62">
        <v>0.13500000000000001</v>
      </c>
      <c r="I26" s="3">
        <f t="shared" si="0"/>
        <v>1.1200000000000001E-4</v>
      </c>
      <c r="K26" s="10">
        <f t="shared" si="1"/>
        <v>-0.93740794845767905</v>
      </c>
      <c r="L26" s="3">
        <f t="shared" si="2"/>
        <v>-0.92850804799554232</v>
      </c>
      <c r="M26" s="3">
        <f t="shared" si="3"/>
        <v>-0.71092333531529495</v>
      </c>
      <c r="N26" s="11">
        <f t="shared" si="4"/>
        <v>-1.0121975371616867</v>
      </c>
      <c r="Q26" t="s">
        <v>2290</v>
      </c>
      <c r="R26">
        <v>0.26907077429006704</v>
      </c>
      <c r="S26">
        <v>1.9853137378872496E-2</v>
      </c>
      <c r="T26">
        <v>13.553060614812921</v>
      </c>
      <c r="U26" s="69">
        <v>2.5161351885552725E-19</v>
      </c>
      <c r="V26">
        <v>0.22930016109582893</v>
      </c>
      <c r="W26">
        <v>0.30884138748430512</v>
      </c>
      <c r="X26">
        <v>0.22930016109582893</v>
      </c>
      <c r="Y26">
        <v>0.30884138748430512</v>
      </c>
    </row>
    <row r="27" spans="4:25" ht="15.75" thickBot="1">
      <c r="D27" s="60">
        <v>44409</v>
      </c>
      <c r="E27" s="72">
        <v>1.1399999999999999E-2</v>
      </c>
      <c r="F27" s="61">
        <v>0.155</v>
      </c>
      <c r="G27" s="61">
        <v>435</v>
      </c>
      <c r="H27" s="62">
        <v>0.13600000000000001</v>
      </c>
      <c r="I27" s="3">
        <f t="shared" si="0"/>
        <v>1.1399999999999999E-4</v>
      </c>
      <c r="K27" s="10">
        <f t="shared" si="1"/>
        <v>-0.91104429735101888</v>
      </c>
      <c r="L27" s="3">
        <f t="shared" si="2"/>
        <v>-0.86984485085998675</v>
      </c>
      <c r="M27" s="3">
        <f t="shared" si="3"/>
        <v>-0.70494974739835192</v>
      </c>
      <c r="N27" s="11">
        <f t="shared" si="4"/>
        <v>-0.99248580323448743</v>
      </c>
      <c r="Q27" s="66" t="s">
        <v>2291</v>
      </c>
      <c r="R27" s="66">
        <v>0.68201883520770024</v>
      </c>
      <c r="S27" s="66">
        <v>3.716811687611498E-2</v>
      </c>
      <c r="T27" s="66">
        <v>18.349566578283657</v>
      </c>
      <c r="U27" s="70">
        <v>2.362838697823677E-25</v>
      </c>
      <c r="V27" s="66">
        <v>0.60756215003856995</v>
      </c>
      <c r="W27" s="66">
        <v>0.75647552037683052</v>
      </c>
      <c r="X27" s="66">
        <v>0.60756215003856995</v>
      </c>
      <c r="Y27" s="66">
        <v>0.75647552037683052</v>
      </c>
    </row>
    <row r="28" spans="4:25">
      <c r="D28" s="60">
        <v>44440</v>
      </c>
      <c r="E28" s="72">
        <v>1.18E-2</v>
      </c>
      <c r="F28" s="61">
        <v>0.16</v>
      </c>
      <c r="G28" s="61">
        <v>438</v>
      </c>
      <c r="H28" s="62">
        <v>0.13800000000000001</v>
      </c>
      <c r="I28" s="3">
        <f t="shared" si="0"/>
        <v>1.18E-4</v>
      </c>
      <c r="K28" s="10">
        <f t="shared" si="1"/>
        <v>-0.85831699513769755</v>
      </c>
      <c r="L28" s="3">
        <f t="shared" si="2"/>
        <v>-0.7720728556340607</v>
      </c>
      <c r="M28" s="3">
        <f t="shared" si="3"/>
        <v>-0.6989761594814089</v>
      </c>
      <c r="N28" s="11">
        <f t="shared" si="4"/>
        <v>-0.95306233538008867</v>
      </c>
      <c r="Q28"/>
      <c r="R28"/>
      <c r="S28"/>
      <c r="T28"/>
      <c r="U28"/>
      <c r="V28"/>
      <c r="W28"/>
      <c r="X28"/>
      <c r="Y28"/>
    </row>
    <row r="29" spans="4:25">
      <c r="D29" s="60">
        <v>44470</v>
      </c>
      <c r="E29" s="72">
        <v>1.2199999999999999E-2</v>
      </c>
      <c r="F29" s="61">
        <v>0.16500000000000001</v>
      </c>
      <c r="G29" s="61">
        <v>440</v>
      </c>
      <c r="H29" s="62">
        <v>0.14000000000000001</v>
      </c>
      <c r="I29" s="3">
        <f t="shared" si="0"/>
        <v>1.2199999999999998E-4</v>
      </c>
      <c r="K29" s="10">
        <f t="shared" si="1"/>
        <v>-0.80558969292437654</v>
      </c>
      <c r="L29" s="3">
        <f t="shared" si="2"/>
        <v>-0.67430086040813475</v>
      </c>
      <c r="M29" s="3">
        <f t="shared" si="3"/>
        <v>-0.69499376753678022</v>
      </c>
      <c r="N29" s="11">
        <f t="shared" si="4"/>
        <v>-0.9136388675256899</v>
      </c>
      <c r="Q29"/>
      <c r="R29"/>
      <c r="S29"/>
      <c r="T29"/>
      <c r="U29"/>
      <c r="V29"/>
      <c r="W29"/>
      <c r="X29"/>
      <c r="Y29"/>
    </row>
    <row r="30" spans="4:25">
      <c r="D30" s="60">
        <v>44501</v>
      </c>
      <c r="E30" s="72">
        <v>1.26E-2</v>
      </c>
      <c r="F30" s="61">
        <v>0.17</v>
      </c>
      <c r="G30" s="61">
        <v>445</v>
      </c>
      <c r="H30" s="62">
        <v>0.14199999999999999</v>
      </c>
      <c r="I30" s="3">
        <f t="shared" si="0"/>
        <v>1.26E-4</v>
      </c>
      <c r="K30" s="10">
        <f t="shared" si="1"/>
        <v>-0.75286239071105532</v>
      </c>
      <c r="L30" s="3">
        <f t="shared" si="2"/>
        <v>-0.57652886518220869</v>
      </c>
      <c r="M30" s="3">
        <f t="shared" si="3"/>
        <v>-0.68503778767520851</v>
      </c>
      <c r="N30" s="11">
        <f t="shared" si="4"/>
        <v>-0.87421539967129169</v>
      </c>
      <c r="Q30"/>
      <c r="R30"/>
      <c r="S30"/>
      <c r="T30"/>
      <c r="U30"/>
      <c r="V30"/>
      <c r="W30"/>
      <c r="X30"/>
      <c r="Y30"/>
    </row>
    <row r="31" spans="4:25">
      <c r="D31" s="60">
        <v>44531</v>
      </c>
      <c r="E31" s="72">
        <v>1.3000000000000001E-2</v>
      </c>
      <c r="F31" s="61">
        <v>0.17499999999999999</v>
      </c>
      <c r="G31" s="61">
        <v>450</v>
      </c>
      <c r="H31" s="62">
        <v>0.14499999999999999</v>
      </c>
      <c r="I31" s="3">
        <f t="shared" si="0"/>
        <v>1.3000000000000002E-4</v>
      </c>
      <c r="K31" s="10">
        <f t="shared" si="1"/>
        <v>-0.70013508849773398</v>
      </c>
      <c r="L31" s="3">
        <f t="shared" si="2"/>
        <v>-0.47875686995628325</v>
      </c>
      <c r="M31" s="3">
        <f t="shared" si="3"/>
        <v>-0.67508180781363691</v>
      </c>
      <c r="N31" s="11">
        <f t="shared" si="4"/>
        <v>-0.81508019788969355</v>
      </c>
    </row>
    <row r="32" spans="4:25">
      <c r="D32" s="60">
        <v>44562</v>
      </c>
      <c r="E32" s="72">
        <v>1.3500000000000002E-2</v>
      </c>
      <c r="F32" s="61">
        <v>0.18</v>
      </c>
      <c r="G32" s="61">
        <v>455</v>
      </c>
      <c r="H32" s="62">
        <v>0.15</v>
      </c>
      <c r="I32" s="3">
        <f t="shared" si="0"/>
        <v>1.3500000000000003E-4</v>
      </c>
      <c r="K32" s="10">
        <f t="shared" si="1"/>
        <v>-0.63422596073108251</v>
      </c>
      <c r="L32" s="3">
        <f t="shared" si="2"/>
        <v>-0.38098487473035725</v>
      </c>
      <c r="M32" s="3">
        <f t="shared" si="3"/>
        <v>-0.66512582795206521</v>
      </c>
      <c r="N32" s="11">
        <f t="shared" si="4"/>
        <v>-0.71652152825369664</v>
      </c>
    </row>
    <row r="33" spans="4:14">
      <c r="D33" s="60">
        <v>44593</v>
      </c>
      <c r="E33" s="72">
        <v>1.3999999999999999E-2</v>
      </c>
      <c r="F33" s="61">
        <v>0.185</v>
      </c>
      <c r="G33" s="61">
        <v>460</v>
      </c>
      <c r="H33" s="62">
        <v>0.153</v>
      </c>
      <c r="I33" s="3">
        <f t="shared" si="0"/>
        <v>1.3999999999999999E-4</v>
      </c>
      <c r="K33" s="10">
        <f t="shared" si="1"/>
        <v>-0.56831683296443158</v>
      </c>
      <c r="L33" s="3">
        <f t="shared" si="2"/>
        <v>-0.28321287950443125</v>
      </c>
      <c r="M33" s="3">
        <f t="shared" si="3"/>
        <v>-0.6551698480904935</v>
      </c>
      <c r="N33" s="11">
        <f t="shared" si="4"/>
        <v>-0.65738632647209849</v>
      </c>
    </row>
    <row r="34" spans="4:14">
      <c r="D34" s="60">
        <v>44621</v>
      </c>
      <c r="E34" s="72">
        <v>1.4499999999999999E-2</v>
      </c>
      <c r="F34" s="61">
        <v>0.19</v>
      </c>
      <c r="G34" s="61">
        <v>465</v>
      </c>
      <c r="H34" s="62">
        <v>0.157</v>
      </c>
      <c r="I34" s="3">
        <f t="shared" si="0"/>
        <v>1.45E-4</v>
      </c>
      <c r="K34" s="10">
        <f t="shared" si="1"/>
        <v>-0.50240770519778011</v>
      </c>
      <c r="L34" s="3">
        <f t="shared" si="2"/>
        <v>-0.18544088427850527</v>
      </c>
      <c r="M34" s="3">
        <f t="shared" si="3"/>
        <v>-0.64521386822892179</v>
      </c>
      <c r="N34" s="11">
        <f t="shared" si="4"/>
        <v>-0.57853939076330096</v>
      </c>
    </row>
    <row r="35" spans="4:14">
      <c r="D35" s="60">
        <v>44652</v>
      </c>
      <c r="E35" s="72">
        <v>1.4999999999999999E-2</v>
      </c>
      <c r="F35" s="61">
        <v>0.19500000000000001</v>
      </c>
      <c r="G35" s="61">
        <v>470</v>
      </c>
      <c r="H35" s="62">
        <v>0.16</v>
      </c>
      <c r="I35" s="3">
        <f t="shared" si="0"/>
        <v>1.4999999999999999E-4</v>
      </c>
      <c r="K35" s="10">
        <f t="shared" si="1"/>
        <v>-0.43649857743112863</v>
      </c>
      <c r="L35" s="3">
        <f t="shared" si="2"/>
        <v>-8.766888905257926E-2</v>
      </c>
      <c r="M35" s="3">
        <f t="shared" si="3"/>
        <v>-0.6352578883673502</v>
      </c>
      <c r="N35" s="11">
        <f t="shared" si="4"/>
        <v>-0.51940418898170282</v>
      </c>
    </row>
    <row r="36" spans="4:14">
      <c r="D36" s="60">
        <v>44682</v>
      </c>
      <c r="E36" s="72">
        <v>1.55E-2</v>
      </c>
      <c r="F36" s="61">
        <v>0.2</v>
      </c>
      <c r="G36" s="61">
        <v>480</v>
      </c>
      <c r="H36" s="62">
        <v>0.16500000000000001</v>
      </c>
      <c r="I36" s="3">
        <f t="shared" si="0"/>
        <v>1.55E-4</v>
      </c>
      <c r="K36" s="10">
        <f t="shared" si="1"/>
        <v>-0.37058944966447716</v>
      </c>
      <c r="L36" s="3">
        <f t="shared" si="2"/>
        <v>1.0103106173346737E-2</v>
      </c>
      <c r="M36" s="3">
        <f t="shared" si="3"/>
        <v>-0.61534592864420679</v>
      </c>
      <c r="N36" s="11">
        <f t="shared" si="4"/>
        <v>-0.42084551934570597</v>
      </c>
    </row>
    <row r="37" spans="4:14">
      <c r="D37" s="60">
        <v>44713</v>
      </c>
      <c r="E37" s="72">
        <v>1.6E-2</v>
      </c>
      <c r="F37" s="61">
        <v>0.20499999999999999</v>
      </c>
      <c r="G37" s="61">
        <v>490</v>
      </c>
      <c r="H37" s="62">
        <v>0.17</v>
      </c>
      <c r="I37" s="3">
        <f t="shared" si="0"/>
        <v>1.6000000000000001E-4</v>
      </c>
      <c r="K37" s="10">
        <f t="shared" si="1"/>
        <v>-0.30468032189782568</v>
      </c>
      <c r="L37" s="3">
        <f t="shared" si="2"/>
        <v>0.1078751013992722</v>
      </c>
      <c r="M37" s="3">
        <f t="shared" si="3"/>
        <v>-0.59543396892106348</v>
      </c>
      <c r="N37" s="11">
        <f t="shared" si="4"/>
        <v>-0.32228684970970906</v>
      </c>
    </row>
    <row r="38" spans="4:14">
      <c r="D38" s="60">
        <v>44743</v>
      </c>
      <c r="E38" s="72">
        <v>1.6500000000000001E-2</v>
      </c>
      <c r="F38" s="61">
        <v>0.21</v>
      </c>
      <c r="G38" s="61">
        <v>500</v>
      </c>
      <c r="H38" s="62">
        <v>0.17499999999999999</v>
      </c>
      <c r="I38" s="3">
        <f t="shared" si="0"/>
        <v>1.65E-4</v>
      </c>
      <c r="K38" s="10">
        <f t="shared" si="1"/>
        <v>-0.23877119413117423</v>
      </c>
      <c r="L38" s="3">
        <f t="shared" si="2"/>
        <v>0.2056470966251982</v>
      </c>
      <c r="M38" s="3">
        <f t="shared" si="3"/>
        <v>-0.57552200919792007</v>
      </c>
      <c r="N38" s="11">
        <f t="shared" si="4"/>
        <v>-0.22372818007371273</v>
      </c>
    </row>
    <row r="39" spans="4:14">
      <c r="D39" s="60">
        <v>44774</v>
      </c>
      <c r="E39" s="72">
        <v>1.7000000000000001E-2</v>
      </c>
      <c r="F39" s="61">
        <v>0.215</v>
      </c>
      <c r="G39" s="61">
        <v>510</v>
      </c>
      <c r="H39" s="62">
        <v>0.18</v>
      </c>
      <c r="I39" s="3">
        <f t="shared" si="0"/>
        <v>1.7000000000000001E-4</v>
      </c>
      <c r="K39" s="10">
        <f t="shared" si="1"/>
        <v>-0.17286206636452278</v>
      </c>
      <c r="L39" s="3">
        <f t="shared" si="2"/>
        <v>0.3034190918511242</v>
      </c>
      <c r="M39" s="3">
        <f t="shared" si="3"/>
        <v>-0.55561004947477677</v>
      </c>
      <c r="N39" s="11">
        <f t="shared" si="4"/>
        <v>-0.12516951043771585</v>
      </c>
    </row>
    <row r="40" spans="4:14">
      <c r="D40" s="60">
        <v>44805</v>
      </c>
      <c r="E40" s="72">
        <v>1.7500000000000002E-2</v>
      </c>
      <c r="F40" s="61">
        <v>0.22</v>
      </c>
      <c r="G40" s="61">
        <v>520</v>
      </c>
      <c r="H40" s="62">
        <v>0.183</v>
      </c>
      <c r="I40" s="3">
        <f t="shared" si="0"/>
        <v>1.7500000000000003E-4</v>
      </c>
      <c r="K40" s="10">
        <f t="shared" si="1"/>
        <v>-0.10695293859787132</v>
      </c>
      <c r="L40" s="3">
        <f t="shared" si="2"/>
        <v>0.4011910870770502</v>
      </c>
      <c r="M40" s="3">
        <f t="shared" si="3"/>
        <v>-0.53569808975163336</v>
      </c>
      <c r="N40" s="11">
        <f t="shared" si="4"/>
        <v>-6.6034308656117702E-2</v>
      </c>
    </row>
    <row r="41" spans="4:14">
      <c r="D41" s="60">
        <v>44835</v>
      </c>
      <c r="E41" s="72">
        <v>1.8000000000000002E-2</v>
      </c>
      <c r="F41" s="61">
        <v>0.22500000000000001</v>
      </c>
      <c r="G41" s="61">
        <v>530</v>
      </c>
      <c r="H41" s="62">
        <v>0.18600000000000003</v>
      </c>
      <c r="I41" s="3">
        <f t="shared" si="0"/>
        <v>1.8000000000000001E-4</v>
      </c>
      <c r="K41" s="10">
        <f t="shared" si="1"/>
        <v>-4.104381083121985E-2</v>
      </c>
      <c r="L41" s="3">
        <f t="shared" si="2"/>
        <v>0.4989630823029762</v>
      </c>
      <c r="M41" s="3">
        <f t="shared" si="3"/>
        <v>-0.51578613002849005</v>
      </c>
      <c r="N41" s="11">
        <f t="shared" si="4"/>
        <v>-6.8991068745190166E-3</v>
      </c>
    </row>
    <row r="42" spans="4:14">
      <c r="D42" s="60">
        <v>44866</v>
      </c>
      <c r="E42" s="72">
        <v>1.8500000000000003E-2</v>
      </c>
      <c r="F42" s="61">
        <v>0.23</v>
      </c>
      <c r="G42" s="61">
        <v>540</v>
      </c>
      <c r="H42" s="62">
        <v>0.19</v>
      </c>
      <c r="I42" s="3">
        <f t="shared" si="0"/>
        <v>1.8500000000000002E-4</v>
      </c>
      <c r="K42" s="10">
        <f t="shared" si="1"/>
        <v>2.4865316935431613E-2</v>
      </c>
      <c r="L42" s="3">
        <f t="shared" si="2"/>
        <v>0.5967350775289022</v>
      </c>
      <c r="M42" s="3">
        <f t="shared" si="3"/>
        <v>-0.4958741703053467</v>
      </c>
      <c r="N42" s="11">
        <f t="shared" si="4"/>
        <v>7.1947828834277958E-2</v>
      </c>
    </row>
    <row r="43" spans="4:14">
      <c r="D43" s="60">
        <v>44896</v>
      </c>
      <c r="E43" s="72">
        <v>1.9E-2</v>
      </c>
      <c r="F43" s="61">
        <v>0.23499999999999999</v>
      </c>
      <c r="G43" s="61">
        <v>550</v>
      </c>
      <c r="H43" s="62">
        <v>0.19500000000000001</v>
      </c>
      <c r="I43" s="3">
        <f t="shared" si="0"/>
        <v>1.8999999999999998E-4</v>
      </c>
      <c r="K43" s="10">
        <f t="shared" si="1"/>
        <v>9.077444470208261E-2</v>
      </c>
      <c r="L43" s="3">
        <f t="shared" si="2"/>
        <v>0.6945070727548277</v>
      </c>
      <c r="M43" s="3">
        <f t="shared" si="3"/>
        <v>-0.47596221058220334</v>
      </c>
      <c r="N43" s="11">
        <f t="shared" si="4"/>
        <v>0.17050649847027485</v>
      </c>
    </row>
    <row r="44" spans="4:14">
      <c r="D44" s="60">
        <v>44927</v>
      </c>
      <c r="E44" s="72">
        <v>0.02</v>
      </c>
      <c r="F44" s="61">
        <v>0.24</v>
      </c>
      <c r="G44" s="61">
        <v>600</v>
      </c>
      <c r="H44" s="62">
        <v>0.2</v>
      </c>
      <c r="I44" s="3">
        <f t="shared" si="0"/>
        <v>2.0000000000000001E-4</v>
      </c>
      <c r="K44" s="10">
        <f t="shared" si="1"/>
        <v>0.22259270023538555</v>
      </c>
      <c r="L44" s="3">
        <f t="shared" si="2"/>
        <v>0.79227906798075365</v>
      </c>
      <c r="M44" s="3">
        <f t="shared" si="3"/>
        <v>-0.37640241196648655</v>
      </c>
      <c r="N44" s="11">
        <f t="shared" si="4"/>
        <v>0.26906516810627173</v>
      </c>
    </row>
    <row r="45" spans="4:14">
      <c r="D45" s="60">
        <v>44958</v>
      </c>
      <c r="E45" s="72">
        <v>2.1000000000000001E-2</v>
      </c>
      <c r="F45" s="61">
        <v>0.25</v>
      </c>
      <c r="G45" s="61">
        <v>650</v>
      </c>
      <c r="H45" s="62">
        <v>0.21</v>
      </c>
      <c r="I45" s="3">
        <f t="shared" si="0"/>
        <v>2.1000000000000001E-4</v>
      </c>
      <c r="K45" s="10">
        <f t="shared" si="1"/>
        <v>0.35441095576868847</v>
      </c>
      <c r="L45" s="3">
        <f t="shared" si="2"/>
        <v>0.98782305843260565</v>
      </c>
      <c r="M45" s="3">
        <f t="shared" si="3"/>
        <v>-0.27684261335076976</v>
      </c>
      <c r="N45" s="11">
        <f t="shared" si="4"/>
        <v>0.466182507378265</v>
      </c>
    </row>
    <row r="46" spans="4:14">
      <c r="D46" s="60">
        <v>44986</v>
      </c>
      <c r="E46" s="72">
        <v>2.2000000000000002E-2</v>
      </c>
      <c r="F46" s="61">
        <v>0.26</v>
      </c>
      <c r="G46" s="61">
        <v>700</v>
      </c>
      <c r="H46" s="62">
        <v>0.22</v>
      </c>
      <c r="I46" s="3">
        <f t="shared" si="0"/>
        <v>2.2000000000000003E-4</v>
      </c>
      <c r="K46" s="10">
        <f t="shared" si="1"/>
        <v>0.48622921130199137</v>
      </c>
      <c r="L46" s="3">
        <f t="shared" si="2"/>
        <v>1.1833670488844577</v>
      </c>
      <c r="M46" s="3">
        <f t="shared" si="3"/>
        <v>-0.17728281473505297</v>
      </c>
      <c r="N46" s="11">
        <f t="shared" si="4"/>
        <v>0.66329984665025876</v>
      </c>
    </row>
    <row r="47" spans="4:14">
      <c r="D47" s="60">
        <v>45017</v>
      </c>
      <c r="E47" s="72">
        <v>2.3E-2</v>
      </c>
      <c r="F47" s="61">
        <v>0.27</v>
      </c>
      <c r="G47" s="61">
        <v>750</v>
      </c>
      <c r="H47" s="62">
        <v>0.23</v>
      </c>
      <c r="I47" s="3">
        <f t="shared" si="0"/>
        <v>2.3000000000000001E-4</v>
      </c>
      <c r="K47" s="10">
        <f t="shared" si="1"/>
        <v>0.61804746683529388</v>
      </c>
      <c r="L47" s="3">
        <f t="shared" si="2"/>
        <v>1.3789110393363098</v>
      </c>
      <c r="M47" s="3">
        <f t="shared" si="3"/>
        <v>-7.7723016119336172E-2</v>
      </c>
      <c r="N47" s="11">
        <f t="shared" si="4"/>
        <v>0.86041718592225258</v>
      </c>
    </row>
    <row r="48" spans="4:14">
      <c r="D48" s="60">
        <v>45047</v>
      </c>
      <c r="E48" s="72">
        <v>2.4E-2</v>
      </c>
      <c r="F48" s="61">
        <v>0.28000000000000003</v>
      </c>
      <c r="G48" s="61">
        <v>800</v>
      </c>
      <c r="H48" s="62">
        <v>0.24</v>
      </c>
      <c r="I48" s="3">
        <f t="shared" si="0"/>
        <v>2.4000000000000001E-4</v>
      </c>
      <c r="K48" s="10">
        <f t="shared" si="1"/>
        <v>0.74986572236859683</v>
      </c>
      <c r="L48" s="3">
        <f t="shared" si="2"/>
        <v>1.5744550297881617</v>
      </c>
      <c r="M48" s="3">
        <f t="shared" si="3"/>
        <v>2.1836782496380609E-2</v>
      </c>
      <c r="N48" s="11">
        <f t="shared" si="4"/>
        <v>1.0575345251942458</v>
      </c>
    </row>
    <row r="49" spans="4:14">
      <c r="D49" s="60">
        <v>45078</v>
      </c>
      <c r="E49" s="72">
        <v>2.5000000000000001E-2</v>
      </c>
      <c r="F49" s="61">
        <v>0.28999999999999998</v>
      </c>
      <c r="G49" s="61">
        <v>900</v>
      </c>
      <c r="H49" s="62">
        <v>0.245</v>
      </c>
      <c r="I49" s="3">
        <f t="shared" si="0"/>
        <v>2.5000000000000001E-4</v>
      </c>
      <c r="K49" s="10">
        <f t="shared" si="1"/>
        <v>0.88168397790189967</v>
      </c>
      <c r="L49" s="3">
        <f t="shared" si="2"/>
        <v>1.7699990202400127</v>
      </c>
      <c r="M49" s="3">
        <f t="shared" si="3"/>
        <v>0.22095637972781418</v>
      </c>
      <c r="N49" s="11">
        <f t="shared" si="4"/>
        <v>1.1560931948302426</v>
      </c>
    </row>
    <row r="50" spans="4:14">
      <c r="D50" s="60">
        <v>45108</v>
      </c>
      <c r="E50" s="72">
        <v>2.6000000000000002E-2</v>
      </c>
      <c r="F50" s="61">
        <v>0.3</v>
      </c>
      <c r="G50" s="61">
        <v>1000</v>
      </c>
      <c r="H50" s="62">
        <v>0.25</v>
      </c>
      <c r="I50" s="3">
        <f t="shared" si="0"/>
        <v>2.6000000000000003E-4</v>
      </c>
      <c r="K50" s="10">
        <f t="shared" si="1"/>
        <v>1.0135022334352026</v>
      </c>
      <c r="L50" s="3">
        <f t="shared" si="2"/>
        <v>1.9655430106918645</v>
      </c>
      <c r="M50" s="3">
        <f t="shared" si="3"/>
        <v>0.42007597695924775</v>
      </c>
      <c r="N50" s="11">
        <f t="shared" si="4"/>
        <v>1.2546518644662397</v>
      </c>
    </row>
    <row r="51" spans="4:14">
      <c r="D51" s="60">
        <v>45139</v>
      </c>
      <c r="E51" s="72">
        <v>2.7000000000000003E-2</v>
      </c>
      <c r="F51" s="61">
        <v>0.28999999999999998</v>
      </c>
      <c r="G51" s="61">
        <v>1100</v>
      </c>
      <c r="H51" s="62">
        <v>0.255</v>
      </c>
      <c r="I51" s="3">
        <f t="shared" si="0"/>
        <v>2.7000000000000006E-4</v>
      </c>
      <c r="K51" s="10">
        <f t="shared" si="1"/>
        <v>1.1453204889685056</v>
      </c>
      <c r="L51" s="3">
        <f t="shared" si="2"/>
        <v>1.7699990202400127</v>
      </c>
      <c r="M51" s="3">
        <f t="shared" si="3"/>
        <v>0.61919557419068127</v>
      </c>
      <c r="N51" s="11">
        <f t="shared" si="4"/>
        <v>1.3532105341022365</v>
      </c>
    </row>
    <row r="52" spans="4:14">
      <c r="D52" s="60">
        <v>45170</v>
      </c>
      <c r="E52" s="72">
        <v>2.7999999999999997E-2</v>
      </c>
      <c r="F52" s="61">
        <v>0.28000000000000003</v>
      </c>
      <c r="G52" s="61">
        <v>1200</v>
      </c>
      <c r="H52" s="62">
        <v>0.26</v>
      </c>
      <c r="I52" s="3">
        <f t="shared" si="0"/>
        <v>2.7999999999999998E-4</v>
      </c>
      <c r="K52" s="10">
        <f t="shared" si="1"/>
        <v>1.2771387445018076</v>
      </c>
      <c r="L52" s="3">
        <f t="shared" si="2"/>
        <v>1.5744550297881617</v>
      </c>
      <c r="M52" s="3">
        <f t="shared" si="3"/>
        <v>0.81831517142211485</v>
      </c>
      <c r="N52" s="11">
        <f t="shared" si="4"/>
        <v>1.4517692037382335</v>
      </c>
    </row>
    <row r="53" spans="4:14">
      <c r="D53" s="60">
        <v>45200</v>
      </c>
      <c r="E53" s="72">
        <v>2.8999999999999998E-2</v>
      </c>
      <c r="F53" s="61">
        <v>0.27</v>
      </c>
      <c r="G53" s="61">
        <v>1300</v>
      </c>
      <c r="H53" s="62">
        <v>0.26500000000000001</v>
      </c>
      <c r="I53" s="3">
        <f t="shared" si="0"/>
        <v>2.9E-4</v>
      </c>
      <c r="K53" s="10">
        <f t="shared" si="1"/>
        <v>1.4089570000351106</v>
      </c>
      <c r="L53" s="3">
        <f t="shared" si="2"/>
        <v>1.3789110393363098</v>
      </c>
      <c r="M53" s="3">
        <f t="shared" si="3"/>
        <v>1.0174347686535485</v>
      </c>
      <c r="N53" s="11">
        <f t="shared" si="4"/>
        <v>1.5503278733742303</v>
      </c>
    </row>
    <row r="54" spans="4:14">
      <c r="D54" s="60">
        <v>45231</v>
      </c>
      <c r="E54" s="72">
        <v>0.03</v>
      </c>
      <c r="F54" s="61">
        <v>0.26</v>
      </c>
      <c r="G54" s="61">
        <v>1400</v>
      </c>
      <c r="H54" s="62">
        <v>0.27</v>
      </c>
      <c r="I54" s="3">
        <f t="shared" si="0"/>
        <v>2.9999999999999997E-4</v>
      </c>
      <c r="K54" s="10">
        <f t="shared" si="1"/>
        <v>1.5407752555684133</v>
      </c>
      <c r="L54" s="3">
        <f t="shared" si="2"/>
        <v>1.1833670488844577</v>
      </c>
      <c r="M54" s="3">
        <f t="shared" si="3"/>
        <v>1.216554365884982</v>
      </c>
      <c r="N54" s="11">
        <f t="shared" si="4"/>
        <v>1.6488865430102271</v>
      </c>
    </row>
    <row r="55" spans="4:14">
      <c r="D55" s="60">
        <v>45261</v>
      </c>
      <c r="E55" s="72">
        <v>3.1E-2</v>
      </c>
      <c r="F55" s="61">
        <v>0.25</v>
      </c>
      <c r="G55" s="61">
        <v>1500</v>
      </c>
      <c r="H55" s="62">
        <v>0.27500000000000002</v>
      </c>
      <c r="I55" s="3">
        <f t="shared" si="0"/>
        <v>3.1E-4</v>
      </c>
      <c r="K55" s="10">
        <f t="shared" si="1"/>
        <v>1.6725935111017163</v>
      </c>
      <c r="L55" s="3">
        <f t="shared" si="2"/>
        <v>0.98782305843260565</v>
      </c>
      <c r="M55" s="3">
        <f t="shared" si="3"/>
        <v>1.4156739631164157</v>
      </c>
      <c r="N55" s="11">
        <f t="shared" si="4"/>
        <v>1.7474452126462241</v>
      </c>
    </row>
    <row r="56" spans="4:14">
      <c r="D56" s="60">
        <v>45292</v>
      </c>
      <c r="E56" s="72">
        <v>3.0499999999999999E-2</v>
      </c>
      <c r="F56" s="61">
        <v>0.245</v>
      </c>
      <c r="G56" s="61">
        <v>1520</v>
      </c>
      <c r="H56" s="62">
        <v>0.27</v>
      </c>
      <c r="I56" s="3">
        <f t="shared" si="0"/>
        <v>3.0499999999999999E-4</v>
      </c>
      <c r="K56" s="10">
        <f t="shared" si="1"/>
        <v>1.6066843833350648</v>
      </c>
      <c r="L56" s="3">
        <f t="shared" si="2"/>
        <v>0.8900510632066797</v>
      </c>
      <c r="M56" s="3">
        <f t="shared" si="3"/>
        <v>1.4554978825627023</v>
      </c>
      <c r="N56" s="11">
        <f t="shared" si="4"/>
        <v>1.6488865430102271</v>
      </c>
    </row>
    <row r="57" spans="4:14">
      <c r="D57" s="60">
        <v>45323</v>
      </c>
      <c r="E57" s="72">
        <v>0.03</v>
      </c>
      <c r="F57" s="61">
        <v>0.24</v>
      </c>
      <c r="G57" s="61">
        <v>1540</v>
      </c>
      <c r="H57" s="62">
        <v>0.26500000000000001</v>
      </c>
      <c r="I57" s="3">
        <f t="shared" si="0"/>
        <v>2.9999999999999997E-4</v>
      </c>
      <c r="K57" s="10">
        <f t="shared" si="1"/>
        <v>1.5407752555684133</v>
      </c>
      <c r="L57" s="3">
        <f t="shared" si="2"/>
        <v>0.79227906798075365</v>
      </c>
      <c r="M57" s="3">
        <f t="shared" si="3"/>
        <v>1.4953218020089891</v>
      </c>
      <c r="N57" s="11">
        <f t="shared" si="4"/>
        <v>1.5503278733742303</v>
      </c>
    </row>
    <row r="58" spans="4:14">
      <c r="D58" s="60">
        <v>45352</v>
      </c>
      <c r="E58" s="72">
        <v>2.9500000000000002E-2</v>
      </c>
      <c r="F58" s="61">
        <v>0.23800000000000002</v>
      </c>
      <c r="G58" s="61">
        <v>1560</v>
      </c>
      <c r="H58" s="62">
        <v>0.26</v>
      </c>
      <c r="I58" s="3">
        <f t="shared" si="0"/>
        <v>2.9500000000000001E-4</v>
      </c>
      <c r="K58" s="10">
        <f t="shared" si="1"/>
        <v>1.4748661278017625</v>
      </c>
      <c r="L58" s="3">
        <f t="shared" si="2"/>
        <v>0.75317026989038383</v>
      </c>
      <c r="M58" s="3">
        <f t="shared" si="3"/>
        <v>1.5351457214552757</v>
      </c>
      <c r="N58" s="11">
        <f t="shared" si="4"/>
        <v>1.4517692037382335</v>
      </c>
    </row>
    <row r="59" spans="4:14">
      <c r="D59" s="60">
        <v>45383</v>
      </c>
      <c r="E59" s="72">
        <v>2.8999999999999998E-2</v>
      </c>
      <c r="F59" s="61">
        <v>0.23499999999999999</v>
      </c>
      <c r="G59" s="61">
        <v>1580</v>
      </c>
      <c r="H59" s="62">
        <v>0.255</v>
      </c>
      <c r="I59" s="3">
        <f t="shared" si="0"/>
        <v>2.9E-4</v>
      </c>
      <c r="K59" s="10">
        <f t="shared" si="1"/>
        <v>1.4089570000351106</v>
      </c>
      <c r="L59" s="3">
        <f t="shared" si="2"/>
        <v>0.6945070727548277</v>
      </c>
      <c r="M59" s="3">
        <f t="shared" si="3"/>
        <v>1.5749696409015626</v>
      </c>
      <c r="N59" s="11">
        <f t="shared" si="4"/>
        <v>1.3532105341022365</v>
      </c>
    </row>
    <row r="60" spans="4:14">
      <c r="D60" s="60">
        <v>45413</v>
      </c>
      <c r="E60" s="72">
        <v>2.8500000000000001E-2</v>
      </c>
      <c r="F60" s="61">
        <v>0.23</v>
      </c>
      <c r="G60" s="61">
        <v>1600</v>
      </c>
      <c r="H60" s="62">
        <v>0.25</v>
      </c>
      <c r="I60" s="3">
        <f t="shared" si="0"/>
        <v>2.8499999999999999E-4</v>
      </c>
      <c r="K60" s="10">
        <f t="shared" si="1"/>
        <v>1.3430478722684596</v>
      </c>
      <c r="L60" s="3">
        <f t="shared" si="2"/>
        <v>0.5967350775289022</v>
      </c>
      <c r="M60" s="3">
        <f t="shared" si="3"/>
        <v>1.6147935603478492</v>
      </c>
      <c r="N60" s="11">
        <f t="shared" si="4"/>
        <v>1.2546518644662397</v>
      </c>
    </row>
    <row r="61" spans="4:14">
      <c r="D61" s="60">
        <v>45444</v>
      </c>
      <c r="E61" s="72">
        <v>2.7999999999999997E-2</v>
      </c>
      <c r="F61" s="61">
        <v>0.22800000000000001</v>
      </c>
      <c r="G61" s="61">
        <v>1620</v>
      </c>
      <c r="H61" s="62">
        <v>0.245</v>
      </c>
      <c r="I61" s="3">
        <f t="shared" si="0"/>
        <v>2.7999999999999998E-4</v>
      </c>
      <c r="K61" s="10">
        <f t="shared" si="1"/>
        <v>1.2771387445018076</v>
      </c>
      <c r="L61" s="3">
        <f t="shared" si="2"/>
        <v>0.55762627943853182</v>
      </c>
      <c r="M61" s="3">
        <f t="shared" si="3"/>
        <v>1.654617479794136</v>
      </c>
      <c r="N61" s="11">
        <f t="shared" si="4"/>
        <v>1.1560931948302426</v>
      </c>
    </row>
    <row r="62" spans="4:14">
      <c r="D62" s="60">
        <v>45474</v>
      </c>
      <c r="E62" s="72">
        <v>2.75E-2</v>
      </c>
      <c r="F62" s="61">
        <v>0.22500000000000001</v>
      </c>
      <c r="G62" s="61">
        <v>1650</v>
      </c>
      <c r="H62" s="62">
        <v>0.24</v>
      </c>
      <c r="I62" s="3">
        <f t="shared" si="0"/>
        <v>2.7500000000000002E-4</v>
      </c>
      <c r="K62" s="10">
        <f t="shared" si="1"/>
        <v>1.2112296167351566</v>
      </c>
      <c r="L62" s="3">
        <f t="shared" si="2"/>
        <v>0.4989630823029762</v>
      </c>
      <c r="M62" s="3">
        <f t="shared" si="3"/>
        <v>1.714353358963566</v>
      </c>
      <c r="N62" s="11">
        <f t="shared" si="4"/>
        <v>1.0575345251942458</v>
      </c>
    </row>
    <row r="63" spans="4:14">
      <c r="D63" s="60">
        <v>45505</v>
      </c>
      <c r="E63" s="72">
        <v>2.7000000000000003E-2</v>
      </c>
      <c r="F63" s="61">
        <v>0.222</v>
      </c>
      <c r="G63" s="61">
        <v>1680</v>
      </c>
      <c r="H63" s="62">
        <v>0.23499999999999999</v>
      </c>
      <c r="I63" s="3">
        <f t="shared" si="0"/>
        <v>2.7000000000000006E-4</v>
      </c>
      <c r="K63" s="10">
        <f t="shared" si="1"/>
        <v>1.1453204889685056</v>
      </c>
      <c r="L63" s="3">
        <f t="shared" si="2"/>
        <v>0.44029988516742058</v>
      </c>
      <c r="M63" s="3">
        <f t="shared" si="3"/>
        <v>1.774089238132996</v>
      </c>
      <c r="N63" s="11">
        <f t="shared" si="4"/>
        <v>0.95897585555824894</v>
      </c>
    </row>
    <row r="64" spans="4:14">
      <c r="D64" s="60">
        <v>45536</v>
      </c>
      <c r="E64" s="72">
        <v>2.6499999999999999E-2</v>
      </c>
      <c r="F64" s="61">
        <v>0.22</v>
      </c>
      <c r="G64" s="61">
        <v>1700</v>
      </c>
      <c r="H64" s="62">
        <v>0.23</v>
      </c>
      <c r="I64" s="3">
        <f t="shared" si="0"/>
        <v>2.6499999999999999E-4</v>
      </c>
      <c r="K64" s="10">
        <f t="shared" si="1"/>
        <v>1.0794113612018537</v>
      </c>
      <c r="L64" s="3">
        <f t="shared" si="2"/>
        <v>0.4011910870770502</v>
      </c>
      <c r="M64" s="3">
        <f t="shared" si="3"/>
        <v>1.8139131575792828</v>
      </c>
      <c r="N64" s="11">
        <f t="shared" si="4"/>
        <v>0.86041718592225258</v>
      </c>
    </row>
    <row r="65" spans="4:14">
      <c r="D65" s="60">
        <v>45566</v>
      </c>
      <c r="E65" s="72">
        <v>2.6000000000000002E-2</v>
      </c>
      <c r="F65" s="61">
        <v>0.218</v>
      </c>
      <c r="G65" s="61">
        <v>1720</v>
      </c>
      <c r="H65" s="62">
        <v>0.22500000000000001</v>
      </c>
      <c r="I65" s="3">
        <f t="shared" si="0"/>
        <v>2.6000000000000003E-4</v>
      </c>
      <c r="K65" s="10">
        <f t="shared" si="1"/>
        <v>1.0135022334352026</v>
      </c>
      <c r="L65" s="3">
        <f t="shared" si="2"/>
        <v>0.36208228898667977</v>
      </c>
      <c r="M65" s="3">
        <f t="shared" si="3"/>
        <v>1.8537370770255694</v>
      </c>
      <c r="N65" s="11">
        <f t="shared" si="4"/>
        <v>0.76185851628625567</v>
      </c>
    </row>
    <row r="66" spans="4:14">
      <c r="D66" s="60">
        <v>45597</v>
      </c>
      <c r="E66" s="72">
        <v>2.5499999999999998E-2</v>
      </c>
      <c r="F66" s="61">
        <v>0.215</v>
      </c>
      <c r="G66" s="61">
        <v>1750</v>
      </c>
      <c r="H66" s="62">
        <v>0.22</v>
      </c>
      <c r="I66" s="3">
        <f t="shared" si="0"/>
        <v>2.5499999999999996E-4</v>
      </c>
      <c r="K66" s="10">
        <f t="shared" si="1"/>
        <v>0.94759310566855071</v>
      </c>
      <c r="L66" s="3">
        <f t="shared" si="2"/>
        <v>0.3034190918511242</v>
      </c>
      <c r="M66" s="3">
        <f t="shared" si="3"/>
        <v>1.9134729561949995</v>
      </c>
      <c r="N66" s="11">
        <f t="shared" si="4"/>
        <v>0.66329984665025876</v>
      </c>
    </row>
    <row r="67" spans="4:14">
      <c r="D67" s="63">
        <v>45627</v>
      </c>
      <c r="E67" s="73">
        <v>2.5000000000000001E-2</v>
      </c>
      <c r="F67" s="64">
        <v>0.21199999999999999</v>
      </c>
      <c r="G67" s="64">
        <v>1780</v>
      </c>
      <c r="H67" s="65">
        <v>0.215</v>
      </c>
      <c r="I67" s="3">
        <f t="shared" si="0"/>
        <v>2.5000000000000001E-4</v>
      </c>
      <c r="K67" s="4">
        <f t="shared" si="1"/>
        <v>0.88168397790189967</v>
      </c>
      <c r="L67" s="5">
        <f t="shared" si="2"/>
        <v>0.24475589471556861</v>
      </c>
      <c r="M67" s="5">
        <f t="shared" si="3"/>
        <v>1.9732088353644295</v>
      </c>
      <c r="N67" s="6">
        <f t="shared" si="4"/>
        <v>0.56474117701426185</v>
      </c>
    </row>
    <row r="68" spans="4:14">
      <c r="D68" s="60">
        <f>EOMONTH(D67,1)</f>
        <v>45688</v>
      </c>
      <c r="E68" s="75">
        <f t="shared" ref="E68:E86" si="5">(intercept+beta1*F68+beta2*G68+beta3*H68)/10000</f>
        <v>4.9253666198840931E-2</v>
      </c>
      <c r="F68" s="74">
        <f>_xlfn.FORECAST.ETS(D68,F8:F67,D8:D67)</f>
        <v>0.21685221432476764</v>
      </c>
      <c r="G68" s="74">
        <f>_xlfn.FORECAST.ETS(D68,G8:G67,D8:D67)</f>
        <v>1829.7737056716442</v>
      </c>
      <c r="H68" s="74">
        <f>_xlfn.FORECAST.ETS(D68,H8:H67,D8:D67)</f>
        <v>0.26236951478001858</v>
      </c>
    </row>
    <row r="69" spans="4:14">
      <c r="D69" s="60">
        <f t="shared" ref="D69:D86" si="6">EOMONTH(D68,1)</f>
        <v>45716</v>
      </c>
      <c r="E69" s="75">
        <f t="shared" si="5"/>
        <v>4.9859733196737158E-2</v>
      </c>
      <c r="F69" s="74">
        <f t="shared" ref="F69:F86" si="7">_xlfn.FORECAST.ETS(D69,F9:F68,D9:D68)</f>
        <v>0.21888477920603658</v>
      </c>
      <c r="G69" s="74">
        <f t="shared" ref="G69:G86" si="8">_xlfn.FORECAST.ETS(D69,G9:G68,D9:D68)</f>
        <v>1852.2915382417195</v>
      </c>
      <c r="H69" s="74">
        <f t="shared" ref="H69:H86" si="9">_xlfn.FORECAST.ETS(D69,H9:H68,D9:D68)</f>
        <v>0.26471603636002555</v>
      </c>
    </row>
    <row r="70" spans="4:14">
      <c r="D70" s="60">
        <f t="shared" si="6"/>
        <v>45747</v>
      </c>
      <c r="E70" s="75">
        <f t="shared" si="5"/>
        <v>5.0544183559592809E-2</v>
      </c>
      <c r="F70" s="74">
        <f t="shared" si="7"/>
        <v>0.22122229376930397</v>
      </c>
      <c r="G70" s="74">
        <f t="shared" si="8"/>
        <v>1877.7210906205062</v>
      </c>
      <c r="H70" s="74">
        <f t="shared" si="9"/>
        <v>0.26757294870832327</v>
      </c>
    </row>
    <row r="71" spans="4:14">
      <c r="D71" s="60">
        <f t="shared" si="6"/>
        <v>45777</v>
      </c>
      <c r="E71" s="75">
        <f t="shared" si="5"/>
        <v>5.1191615279649348E-2</v>
      </c>
      <c r="F71" s="74">
        <f t="shared" si="7"/>
        <v>0.22317244956524052</v>
      </c>
      <c r="G71" s="74">
        <f t="shared" si="8"/>
        <v>1901.7758085041294</v>
      </c>
      <c r="H71" s="74">
        <f t="shared" si="9"/>
        <v>0.270100632731748</v>
      </c>
    </row>
    <row r="72" spans="4:14">
      <c r="D72" s="60">
        <f t="shared" si="6"/>
        <v>45808</v>
      </c>
      <c r="E72" s="75">
        <f t="shared" si="5"/>
        <v>5.1869778023561401E-2</v>
      </c>
      <c r="F72" s="74">
        <f t="shared" si="7"/>
        <v>0.22513862454810477</v>
      </c>
      <c r="G72" s="74">
        <f t="shared" si="8"/>
        <v>1926.9721888105048</v>
      </c>
      <c r="H72" s="74">
        <f t="shared" si="9"/>
        <v>0.27280549080534072</v>
      </c>
    </row>
    <row r="73" spans="4:14">
      <c r="D73" s="60">
        <f t="shared" si="6"/>
        <v>45838</v>
      </c>
      <c r="E73" s="75">
        <f t="shared" si="5"/>
        <v>5.2515715265051652E-2</v>
      </c>
      <c r="F73" s="74">
        <f t="shared" si="7"/>
        <v>0.22688071782301183</v>
      </c>
      <c r="G73" s="74">
        <f t="shared" si="8"/>
        <v>1950.9711203767345</v>
      </c>
      <c r="H73" s="74">
        <f t="shared" si="9"/>
        <v>0.27545634051834605</v>
      </c>
    </row>
    <row r="74" spans="4:14">
      <c r="D74" s="60">
        <f t="shared" si="6"/>
        <v>45869</v>
      </c>
      <c r="E74" s="75">
        <f t="shared" si="5"/>
        <v>5.3200846200124441E-2</v>
      </c>
      <c r="F74" s="74">
        <f t="shared" si="7"/>
        <v>0.22863685618192386</v>
      </c>
      <c r="G74" s="74">
        <f t="shared" si="8"/>
        <v>1976.4262535660209</v>
      </c>
      <c r="H74" s="74">
        <f t="shared" si="9"/>
        <v>0.27827492893268396</v>
      </c>
    </row>
    <row r="75" spans="4:14">
      <c r="D75" s="60">
        <f t="shared" si="6"/>
        <v>45900</v>
      </c>
      <c r="E75" s="75">
        <f t="shared" si="5"/>
        <v>5.3871678066847291E-2</v>
      </c>
      <c r="F75" s="74">
        <f t="shared" si="7"/>
        <v>0.23024507071680572</v>
      </c>
      <c r="G75" s="74">
        <f t="shared" si="8"/>
        <v>2001.3505208419572</v>
      </c>
      <c r="H75" s="74">
        <f t="shared" si="9"/>
        <v>0.28089241316519309</v>
      </c>
    </row>
    <row r="76" spans="4:14">
      <c r="D76" s="60">
        <f t="shared" si="6"/>
        <v>45930</v>
      </c>
      <c r="E76" s="75">
        <f t="shared" si="5"/>
        <v>5.4520926171005284E-2</v>
      </c>
      <c r="F76" s="74">
        <f t="shared" si="7"/>
        <v>0.23169662458318074</v>
      </c>
      <c r="G76" s="74">
        <f t="shared" si="8"/>
        <v>2025.4728160479249</v>
      </c>
      <c r="H76" s="74">
        <f t="shared" si="9"/>
        <v>0.28345625334228935</v>
      </c>
    </row>
    <row r="77" spans="4:14">
      <c r="D77" s="60">
        <f t="shared" si="6"/>
        <v>45961</v>
      </c>
      <c r="E77" s="75">
        <f t="shared" si="5"/>
        <v>5.5204817977668019E-2</v>
      </c>
      <c r="F77" s="74">
        <f t="shared" si="7"/>
        <v>0.23317153626939974</v>
      </c>
      <c r="G77" s="74">
        <f t="shared" si="8"/>
        <v>2050.8821453574569</v>
      </c>
      <c r="H77" s="74">
        <f t="shared" si="9"/>
        <v>0.28621320500122849</v>
      </c>
    </row>
    <row r="78" spans="4:14">
      <c r="D78" s="60">
        <f t="shared" si="6"/>
        <v>45991</v>
      </c>
      <c r="E78" s="75">
        <f t="shared" si="5"/>
        <v>5.5854455967031834E-2</v>
      </c>
      <c r="F78" s="74">
        <f t="shared" si="7"/>
        <v>0.23447316661558815</v>
      </c>
      <c r="G78" s="74">
        <f t="shared" si="8"/>
        <v>2075.0191007094504</v>
      </c>
      <c r="H78" s="74">
        <f t="shared" si="9"/>
        <v>0.28872929810137687</v>
      </c>
    </row>
    <row r="79" spans="4:14">
      <c r="D79" s="60">
        <f t="shared" si="6"/>
        <v>46022</v>
      </c>
      <c r="E79" s="75">
        <f t="shared" si="5"/>
        <v>5.6539292905509492E-2</v>
      </c>
      <c r="F79" s="74">
        <f t="shared" si="7"/>
        <v>0.23580077076743969</v>
      </c>
      <c r="G79" s="74">
        <f t="shared" si="8"/>
        <v>2100.4634576257699</v>
      </c>
      <c r="H79" s="74">
        <f t="shared" si="9"/>
        <v>0.29154399437819367</v>
      </c>
    </row>
    <row r="80" spans="4:14">
      <c r="D80" s="60">
        <f t="shared" si="6"/>
        <v>46053</v>
      </c>
      <c r="E80" s="75">
        <f t="shared" si="5"/>
        <v>5.7211983598599796E-2</v>
      </c>
      <c r="F80" s="74">
        <f t="shared" si="7"/>
        <v>0.23701901721886701</v>
      </c>
      <c r="G80" s="74">
        <f t="shared" si="8"/>
        <v>2125.4586202628748</v>
      </c>
      <c r="H80" s="74">
        <f t="shared" si="9"/>
        <v>0.29349687765878735</v>
      </c>
    </row>
    <row r="81" spans="4:8">
      <c r="D81" s="60">
        <f t="shared" si="6"/>
        <v>46081</v>
      </c>
      <c r="E81" s="75">
        <f t="shared" si="5"/>
        <v>5.7820496023905717E-2</v>
      </c>
      <c r="F81" s="74">
        <f t="shared" si="7"/>
        <v>0.23807413229596786</v>
      </c>
      <c r="G81" s="74">
        <f t="shared" si="8"/>
        <v>2148.0673063107756</v>
      </c>
      <c r="H81" s="74">
        <f t="shared" si="9"/>
        <v>0.29598169512610384</v>
      </c>
    </row>
    <row r="82" spans="4:8">
      <c r="D82" s="60">
        <f t="shared" si="6"/>
        <v>46112</v>
      </c>
      <c r="E82" s="75">
        <f t="shared" si="5"/>
        <v>5.8495238455775748E-2</v>
      </c>
      <c r="F82" s="74">
        <f t="shared" si="7"/>
        <v>0.23928079087263643</v>
      </c>
      <c r="G82" s="74">
        <f t="shared" si="8"/>
        <v>2173.1363893361768</v>
      </c>
      <c r="H82" s="74">
        <f t="shared" si="9"/>
        <v>0.29885624205069827</v>
      </c>
    </row>
    <row r="83" spans="4:8">
      <c r="D83" s="60">
        <f t="shared" si="6"/>
        <v>46142</v>
      </c>
      <c r="E83" s="75">
        <f t="shared" si="5"/>
        <v>5.9135914642990485E-2</v>
      </c>
      <c r="F83" s="74">
        <f t="shared" si="7"/>
        <v>0.24027439202537029</v>
      </c>
      <c r="G83" s="74">
        <f t="shared" si="8"/>
        <v>2196.940267434718</v>
      </c>
      <c r="H83" s="74">
        <f t="shared" si="9"/>
        <v>0.30141698812337386</v>
      </c>
    </row>
    <row r="84" spans="4:8">
      <c r="D84" s="60">
        <f t="shared" si="6"/>
        <v>46173</v>
      </c>
      <c r="E84" s="75">
        <f t="shared" si="5"/>
        <v>5.9800345126039101E-2</v>
      </c>
      <c r="F84" s="74">
        <f t="shared" si="7"/>
        <v>0.24125050935307987</v>
      </c>
      <c r="G84" s="74">
        <f t="shared" si="8"/>
        <v>2221.6262973091339</v>
      </c>
      <c r="H84" s="74">
        <f t="shared" si="9"/>
        <v>0.30424640180291029</v>
      </c>
    </row>
    <row r="85" spans="4:8">
      <c r="D85" s="60">
        <f t="shared" si="6"/>
        <v>46203</v>
      </c>
      <c r="E85" s="75">
        <f t="shared" si="5"/>
        <v>6.0441210335079515E-2</v>
      </c>
      <c r="F85" s="74">
        <f t="shared" si="7"/>
        <v>0.24207950340317919</v>
      </c>
      <c r="G85" s="74">
        <f t="shared" si="8"/>
        <v>2245.4370667898138</v>
      </c>
      <c r="H85" s="74">
        <f t="shared" si="9"/>
        <v>0.30688110764914434</v>
      </c>
    </row>
    <row r="86" spans="4:8">
      <c r="D86" s="60">
        <f t="shared" si="6"/>
        <v>46234</v>
      </c>
      <c r="E86" s="75">
        <f t="shared" si="5"/>
        <v>6.1105064562322148E-2</v>
      </c>
      <c r="F86" s="74">
        <f t="shared" si="7"/>
        <v>0.24286500785347989</v>
      </c>
      <c r="G86" s="74">
        <f t="shared" si="8"/>
        <v>2270.1018597960697</v>
      </c>
      <c r="H86" s="74">
        <f t="shared" si="9"/>
        <v>0.30966425496802014</v>
      </c>
    </row>
    <row r="87" spans="4:8">
      <c r="D87" s="60"/>
    </row>
    <row r="89" spans="4:8">
      <c r="D89" s="3" t="s">
        <v>2316</v>
      </c>
      <c r="E89" s="3">
        <f>_xlfn.STDEV.S(E68:E86)</f>
        <v>3.7202338668304155E-3</v>
      </c>
    </row>
  </sheetData>
  <mergeCells count="1">
    <mergeCell ref="D3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AB02-F890-444E-80F9-DB528240ED85}">
  <dimension ref="C2:M18"/>
  <sheetViews>
    <sheetView zoomScale="80" zoomScaleNormal="80" workbookViewId="0">
      <selection activeCell="J16" sqref="J16"/>
    </sheetView>
  </sheetViews>
  <sheetFormatPr defaultRowHeight="15"/>
  <cols>
    <col min="3" max="3" width="16" bestFit="1" customWidth="1"/>
    <col min="4" max="6" width="21.42578125" customWidth="1"/>
    <col min="7" max="7" width="17.28515625" customWidth="1"/>
    <col min="8" max="8" width="27.5703125" customWidth="1"/>
    <col min="10" max="13" width="16.140625" bestFit="1" customWidth="1"/>
  </cols>
  <sheetData>
    <row r="2" spans="3:13">
      <c r="C2" t="s">
        <v>2317</v>
      </c>
    </row>
    <row r="3" spans="3:13">
      <c r="C3" s="2" t="s">
        <v>2277</v>
      </c>
      <c r="D3" s="3"/>
      <c r="E3" s="3"/>
      <c r="F3" s="3"/>
      <c r="G3" s="3"/>
      <c r="H3" s="3"/>
    </row>
    <row r="4" spans="3:13">
      <c r="C4" s="28" t="s">
        <v>76</v>
      </c>
      <c r="D4" s="28" t="s">
        <v>2283</v>
      </c>
      <c r="E4" s="28" t="s">
        <v>2284</v>
      </c>
      <c r="F4" s="28" t="s">
        <v>2285</v>
      </c>
      <c r="G4" s="28" t="s">
        <v>1810</v>
      </c>
      <c r="H4" s="29" t="s">
        <v>49</v>
      </c>
      <c r="J4" s="77" t="s">
        <v>2318</v>
      </c>
      <c r="K4" s="77" t="s">
        <v>2319</v>
      </c>
      <c r="L4" s="77" t="s">
        <v>2320</v>
      </c>
    </row>
    <row r="5" spans="3:13">
      <c r="C5" s="25" t="s">
        <v>899</v>
      </c>
      <c r="D5" s="30">
        <f>'PD Engine'!N8</f>
        <v>0</v>
      </c>
      <c r="E5" s="30">
        <f>'PD Engine'!O8</f>
        <v>0</v>
      </c>
      <c r="F5" s="30">
        <f>'PD Engine'!P8</f>
        <v>0</v>
      </c>
      <c r="G5" s="76">
        <f ca="1">'LGD Analysis'!L23</f>
        <v>0</v>
      </c>
      <c r="H5" s="27">
        <f>'EAD Analysis'!L30</f>
        <v>1910753232</v>
      </c>
      <c r="J5" s="79">
        <f ca="1">H5*G5*D5</f>
        <v>0</v>
      </c>
      <c r="K5" s="78">
        <f ca="1">H5*G5*E5</f>
        <v>0</v>
      </c>
      <c r="L5" s="78">
        <f ca="1">H5*G5*F5</f>
        <v>0</v>
      </c>
    </row>
    <row r="6" spans="3:13">
      <c r="C6" s="25" t="s">
        <v>1835</v>
      </c>
      <c r="D6" s="30">
        <f>'PD Engine'!N9</f>
        <v>0</v>
      </c>
      <c r="E6" s="30">
        <f>'PD Engine'!O9</f>
        <v>0</v>
      </c>
      <c r="F6" s="30">
        <f>'PD Engine'!P9</f>
        <v>0</v>
      </c>
      <c r="G6" s="76">
        <f ca="1">'LGD Analysis'!L24</f>
        <v>0</v>
      </c>
      <c r="H6" s="27">
        <f>'EAD Analysis'!L31</f>
        <v>249206509</v>
      </c>
      <c r="J6" s="79">
        <f t="shared" ref="J6:J9" ca="1" si="0">H6*G6*D6</f>
        <v>0</v>
      </c>
      <c r="K6" s="78">
        <f t="shared" ref="K6:K9" ca="1" si="1">H6*G6*E6</f>
        <v>0</v>
      </c>
      <c r="L6" s="78">
        <f t="shared" ref="L6:L9" ca="1" si="2">H6*G6*F6</f>
        <v>0</v>
      </c>
    </row>
    <row r="7" spans="3:13">
      <c r="C7" s="25" t="s">
        <v>1836</v>
      </c>
      <c r="D7" s="30">
        <f>'PD Engine'!N10</f>
        <v>0.21362693956457277</v>
      </c>
      <c r="E7" s="30">
        <f>'PD Engine'!O10</f>
        <v>0.21283219738913731</v>
      </c>
      <c r="F7" s="30">
        <f>'PD Engine'!P10</f>
        <v>0.21442168174000825</v>
      </c>
      <c r="G7" s="76">
        <f ca="1">'LGD Analysis'!L25</f>
        <v>0.65243243243243232</v>
      </c>
      <c r="H7" s="27">
        <f>'EAD Analysis'!L32</f>
        <v>1895773951</v>
      </c>
      <c r="J7" s="79">
        <f t="shared" ca="1" si="0"/>
        <v>264227558.60586512</v>
      </c>
      <c r="K7" s="78">
        <f t="shared" ca="1" si="1"/>
        <v>263244570.29378965</v>
      </c>
      <c r="L7" s="78">
        <f t="shared" ca="1" si="2"/>
        <v>265210546.91794062</v>
      </c>
      <c r="M7" s="78">
        <f ca="1">AVERAGE(J7:L7)</f>
        <v>264227558.60586512</v>
      </c>
    </row>
    <row r="8" spans="3:13">
      <c r="C8" s="25" t="s">
        <v>1837</v>
      </c>
      <c r="D8" s="30">
        <f>'PD Engine'!N11</f>
        <v>0.37795839881177845</v>
      </c>
      <c r="E8" s="30">
        <f>'PD Engine'!O11</f>
        <v>0.37655230517626587</v>
      </c>
      <c r="F8" s="30">
        <f>'PD Engine'!P11</f>
        <v>0.37936449244729109</v>
      </c>
      <c r="G8" s="76">
        <f ca="1">'LGD Analysis'!L26</f>
        <v>0.71961538461538455</v>
      </c>
      <c r="H8" s="27">
        <f>'EAD Analysis'!L33</f>
        <v>249973198</v>
      </c>
      <c r="J8" s="79">
        <f t="shared" ca="1" si="0"/>
        <v>67988879.899034262</v>
      </c>
      <c r="K8" s="78">
        <f t="shared" ca="1" si="1"/>
        <v>67735945.365465999</v>
      </c>
      <c r="L8" s="78">
        <f t="shared" ca="1" si="2"/>
        <v>68241814.432602525</v>
      </c>
      <c r="M8" s="78">
        <f t="shared" ref="M8:M9" ca="1" si="3">AVERAGE(J8:L8)</f>
        <v>67988879.899034262</v>
      </c>
    </row>
    <row r="9" spans="3:13">
      <c r="C9" s="25" t="s">
        <v>897</v>
      </c>
      <c r="D9" s="30">
        <f>'PD Engine'!N12</f>
        <v>1</v>
      </c>
      <c r="E9" s="30">
        <f>'PD Engine'!O12</f>
        <v>0.9962797661331696</v>
      </c>
      <c r="F9" s="30">
        <f>'PD Engine'!P12</f>
        <v>1.0037202338668305</v>
      </c>
      <c r="G9" s="76">
        <f ca="1">'LGD Analysis'!L27</f>
        <v>0.68034985422740502</v>
      </c>
      <c r="H9" s="27">
        <f>'EAD Analysis'!L34</f>
        <v>1929080135</v>
      </c>
      <c r="J9" s="79">
        <f t="shared" ca="1" si="0"/>
        <v>1312449388.6402328</v>
      </c>
      <c r="K9" s="78">
        <f t="shared" ca="1" si="1"/>
        <v>1307566769.9761126</v>
      </c>
      <c r="L9" s="78">
        <f t="shared" ca="1" si="2"/>
        <v>1317332007.3043532</v>
      </c>
      <c r="M9" s="78">
        <f t="shared" ca="1" si="3"/>
        <v>1312449388.6402328</v>
      </c>
    </row>
    <row r="16" spans="3:13">
      <c r="J16" t="s">
        <v>2321</v>
      </c>
    </row>
    <row r="17" spans="10:11">
      <c r="J17" t="s">
        <v>2322</v>
      </c>
    </row>
    <row r="18" spans="10:11">
      <c r="J18" t="s">
        <v>2323</v>
      </c>
      <c r="K18" s="80">
        <f ca="1">M9/SUM('EAD Engine'!I7:I438)</f>
        <v>0.21050428561194243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Olamide Aladeyelu</dc:creator>
  <cp:keywords/>
  <dc:description/>
  <cp:lastModifiedBy>Olaoye, Adewale</cp:lastModifiedBy>
  <cp:revision/>
  <dcterms:created xsi:type="dcterms:W3CDTF">2026-02-28T04:11:53Z</dcterms:created>
  <dcterms:modified xsi:type="dcterms:W3CDTF">2026-03-02T09:26:58Z</dcterms:modified>
  <cp:category/>
  <cp:contentStatus/>
</cp:coreProperties>
</file>